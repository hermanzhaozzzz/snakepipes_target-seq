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sherry/Downloads/Results/"/>
    </mc:Choice>
  </mc:AlternateContent>
  <xr:revisionPtr revIDLastSave="0" documentId="13_ncr:1_{0609897D-2739-184B-9ABE-1757FF64A6CE}" xr6:coauthVersionLast="45" xr6:coauthVersionMax="45" xr10:uidLastSave="{00000000-0000-0000-0000-000000000000}"/>
  <bookViews>
    <workbookView xWindow="120" yWindow="460" windowWidth="28680" windowHeight="17540" activeTab="7" xr2:uid="{00000000-000D-0000-FFFF-FFFF00000000}"/>
  </bookViews>
  <sheets>
    <sheet name="0920" sheetId="1" r:id="rId1"/>
    <sheet name="1010-" sheetId="5" r:id="rId2"/>
    <sheet name="1103-" sheetId="6" r:id="rId3"/>
    <sheet name="1110" sheetId="9" r:id="rId4"/>
    <sheet name="1120" sheetId="8" r:id="rId5"/>
    <sheet name="0118" sheetId="13" r:id="rId6"/>
    <sheet name="0624" sheetId="15" r:id="rId7"/>
    <sheet name="0715" sheetId="16" r:id="rId8"/>
    <sheet name="emx1" sheetId="2" r:id="rId9"/>
    <sheet name="emx1-guide-seq" sheetId="4" r:id="rId10"/>
    <sheet name="VEGFA-verify-list" sheetId="10" r:id="rId11"/>
    <sheet name="vegfa-primer" sheetId="3" r:id="rId12"/>
    <sheet name="HEK4-HEK3-RNF2" sheetId="7" r:id="rId13"/>
    <sheet name="e1-h4-v2-dis" sheetId="12" r:id="rId14"/>
    <sheet name="MCF7" sheetId="14" r:id="rId15"/>
  </sheets>
  <definedNames>
    <definedName name="_xlnm._FilterDatabase" localSheetId="13" hidden="1">'e1-h4-v2-dis'!$B$1:$AA$21</definedName>
    <definedName name="_xlnm._FilterDatabase" localSheetId="10" hidden="1">'VEGFA-verify-list'!$A$1:$AB$51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28" i="15" l="1"/>
  <c r="K25" i="15"/>
  <c r="M3" i="14"/>
  <c r="L57" i="12"/>
  <c r="L56" i="12"/>
  <c r="K17" i="13"/>
  <c r="W2" i="12"/>
  <c r="W5" i="12"/>
  <c r="W8" i="12"/>
  <c r="W10" i="12"/>
  <c r="W12" i="12"/>
  <c r="W13" i="12"/>
  <c r="W16" i="12"/>
  <c r="W17" i="12"/>
  <c r="W20" i="12"/>
  <c r="L29" i="12"/>
  <c r="L30" i="12"/>
  <c r="L31" i="12"/>
  <c r="L33" i="12"/>
  <c r="L34" i="12"/>
  <c r="L35" i="12"/>
  <c r="L37" i="12"/>
  <c r="L38" i="12"/>
  <c r="L39" i="12"/>
  <c r="L40" i="12"/>
  <c r="L42" i="12"/>
  <c r="L43" i="12"/>
  <c r="I8" i="8"/>
  <c r="I45" i="8"/>
  <c r="L17" i="1"/>
  <c r="T13" i="7"/>
  <c r="G16" i="9"/>
  <c r="D5" i="9"/>
  <c r="G5" i="9"/>
  <c r="H16" i="9"/>
  <c r="S66" i="4"/>
  <c r="S70" i="4"/>
  <c r="S68" i="4"/>
  <c r="S64" i="4"/>
  <c r="H16" i="6"/>
  <c r="H18" i="6"/>
  <c r="B34" i="6"/>
  <c r="H24" i="6"/>
  <c r="H26" i="6"/>
  <c r="E5" i="6"/>
  <c r="H3" i="6"/>
  <c r="H5" i="6"/>
  <c r="H10" i="6"/>
  <c r="H12" i="6"/>
  <c r="J26" i="6"/>
  <c r="I34" i="8"/>
  <c r="I23" i="8"/>
  <c r="T2" i="7"/>
  <c r="T4" i="7"/>
  <c r="T6" i="7"/>
  <c r="T8" i="7"/>
  <c r="T10" i="7"/>
  <c r="H26" i="5"/>
  <c r="H3" i="5"/>
  <c r="H5" i="5"/>
  <c r="I12" i="5"/>
  <c r="I2" i="5"/>
  <c r="H10" i="5"/>
  <c r="I3" i="5"/>
  <c r="I26" i="5"/>
  <c r="E17" i="1"/>
  <c r="F17" i="1"/>
  <c r="I17" i="1"/>
  <c r="J17" i="1"/>
  <c r="K17" i="1"/>
  <c r="M17" i="1"/>
  <c r="N17" i="1"/>
  <c r="O17" i="1"/>
  <c r="D20" i="1"/>
  <c r="C20" i="1"/>
  <c r="E20" i="1"/>
  <c r="D17" i="1"/>
  <c r="B17" i="1"/>
  <c r="S37" i="4"/>
  <c r="S35" i="4"/>
  <c r="S33" i="4"/>
  <c r="S31" i="4"/>
  <c r="S29" i="4"/>
  <c r="S27" i="4"/>
  <c r="S25" i="4"/>
  <c r="S56" i="4"/>
  <c r="S54" i="4"/>
  <c r="S52" i="4"/>
  <c r="S50" i="4"/>
  <c r="S48" i="4"/>
  <c r="S46" i="4"/>
  <c r="S44" i="4"/>
  <c r="S42" i="4"/>
  <c r="G18" i="1"/>
  <c r="F20" i="1"/>
  <c r="G20" i="1"/>
</calcChain>
</file>

<file path=xl/sharedStrings.xml><?xml version="1.0" encoding="utf-8"?>
<sst xmlns="http://schemas.openxmlformats.org/spreadsheetml/2006/main" count="4359" uniqueCount="2257">
  <si>
    <t>Lib_type</t>
    <phoneticPr fontId="2" type="noConversion"/>
  </si>
  <si>
    <t>num</t>
    <phoneticPr fontId="2" type="noConversion"/>
  </si>
  <si>
    <t>V-on-target</t>
    <phoneticPr fontId="2" type="noConversion"/>
  </si>
  <si>
    <t>V-GUIDE-Seq</t>
    <phoneticPr fontId="2" type="noConversion"/>
  </si>
  <si>
    <t>PAM</t>
    <phoneticPr fontId="2" type="noConversion"/>
  </si>
  <si>
    <t>dU</t>
    <phoneticPr fontId="2" type="noConversion"/>
  </si>
  <si>
    <t>APOUGI</t>
    <phoneticPr fontId="2" type="noConversion"/>
  </si>
  <si>
    <t xml:space="preserve">filename </t>
    <phoneticPr fontId="2" type="noConversion"/>
  </si>
  <si>
    <t>190902-PAM-mid-overlap-sgRNA_independent_AlignHighMismatch.chr10_69603953_69604073.png</t>
  </si>
  <si>
    <t>190902-PAM-mid-overlap-sgRNA_independent_AlignHighMismatch.chr2_166972822_166972942.png</t>
  </si>
  <si>
    <t>190902-PAM-strong-overlap-sgRNA_independent_AlignHighMismatch.chr8_127788942_127789062.png</t>
  </si>
  <si>
    <t>190902-PAM-strong-overlap-sgRNA_independent_AlignHighMismatch.chr9_132787946_132788066.png</t>
  </si>
  <si>
    <t>190902-PAMdirection-overlap-sgRNA_independent_AlignHighMismatch.chr11_30147784_30147904.png</t>
  </si>
  <si>
    <t>190902-PAMdirection-overlap-sgRNA_independent_AlignHighMismatch.chr16_3116461_3116581.png</t>
  </si>
  <si>
    <t>190902-PAMdirection-overlap-sgRNA_independent_AlignHighMismatch.chr2_141647052_141647172.png</t>
  </si>
  <si>
    <t>190902-PAMdirection-overlap-sgRNA_independent_AlignHighMismatch.chr7_141723768_141723888.png</t>
  </si>
  <si>
    <t>190902-PAMdirection-overlap-sgRNA_independent_AlignHighMismatch.chr9_138041537_138041657.png</t>
  </si>
  <si>
    <t>190902-PAMdirection-overlap-sgRNA_independent_AlignHighMismatch.chrX_89676454_89676574.png</t>
  </si>
  <si>
    <t>190902-dU-mid-overlap-sgRNA_independent_AlignHighMismatch.chr4_49962877_49962997.png</t>
  </si>
  <si>
    <t>190902-dU-mid-overlap-sgRNA_independent_AlignHighMismatch.chr4_51360007_51360127.png</t>
  </si>
  <si>
    <t>190902-dU-strong-overlap-sgRNA_independent_AlignHighMismatch.chr4_51121948_51122068.png</t>
  </si>
  <si>
    <t>190902-dU-strong-overlap-sgRNA_independent_AlignHighMismatch.chr7_59348703_59348823.png</t>
  </si>
  <si>
    <t>190902-dU-strong-overlap-sgRNA_possible_dependent.chr9_43693233_43693353.png</t>
  </si>
  <si>
    <t>190902-overlap-sgRNA_independent_AlignHighMismatch.chr11_102882450_102882570.png</t>
  </si>
  <si>
    <t>190902-overlap-sgRNA_independent_AlignHighMismatch.chr13_65382192_65382312.png</t>
  </si>
  <si>
    <t>190902-overlap-sgRNA_independent_AlignHighMismatch.chr13_70768597_70768717.png</t>
  </si>
  <si>
    <t>190902-overlap-sgRNA_independent_AlignHighMismatch.chr14_48462846_48462966.png</t>
  </si>
  <si>
    <t>190902-overlap-sgRNA_independent_AlignHighMismatch.chr17_18821535_18821655.png</t>
  </si>
  <si>
    <t>190902-overlap-sgRNA_independent_AlignHighMismatch.chr2_69941214_69941334.png</t>
  </si>
  <si>
    <t>190902-overlap-sgRNA_independent_AlignHighMismatch.chr3_31407504_31407624.png</t>
  </si>
  <si>
    <t>190902-overlap-sgRNA_independent_AlignHighMismatch.chr4_161195530_161195650.png</t>
  </si>
  <si>
    <t>190902-overlap-sgRNA_independent_AlignHighMismatch.chrX_101141294_101141414.png</t>
  </si>
  <si>
    <t>190902-overlap-sgRNA_independent_NotInWindow.chr1_231775670_231775790-sg?.png</t>
  </si>
  <si>
    <t>190902-uneven-no-overlap-sgRNA_independent_AlignHighMismatch.chr5_60238213_60238333.png</t>
  </si>
  <si>
    <t>190902-uneven-no-overlap-sgRNA_possible_dependent.chr14_23499930_23500050.png</t>
  </si>
  <si>
    <t>190902-uneven-no-overlap-sgRNA_possible_dependent.chr2_147028253_147028373.png</t>
  </si>
  <si>
    <t>190902-uneven-no?-overlap-sgRNA_independent_AlignHighMismatch.chr7_146742195_146742315.png</t>
  </si>
  <si>
    <t>190902-uneven-no?-overlap-sgRNA_independent_NoPAM.chr16_68482274_68482394.png</t>
  </si>
  <si>
    <t>190902-uneven-no?-overlap-sgRNA_independent_NoPAM.chrX_128495554_128495674.png</t>
  </si>
  <si>
    <t>dU?-20190902-overlap-sgRNA_independent_AlignHighMismatch.chr1_229103510_229103630.png</t>
  </si>
  <si>
    <t>chr10</t>
  </si>
  <si>
    <t>chr2</t>
  </si>
  <si>
    <t>chr8</t>
  </si>
  <si>
    <t>chr9</t>
  </si>
  <si>
    <t>chr11</t>
  </si>
  <si>
    <t>chr16</t>
  </si>
  <si>
    <t>chr7</t>
  </si>
  <si>
    <t>chrX</t>
  </si>
  <si>
    <t>chr12</t>
  </si>
  <si>
    <t>chr5</t>
  </si>
  <si>
    <t>chr4</t>
  </si>
  <si>
    <t>chr13</t>
  </si>
  <si>
    <t>chr14</t>
  </si>
  <si>
    <t>chr17</t>
  </si>
  <si>
    <t>chr3</t>
  </si>
  <si>
    <t>chr1</t>
  </si>
  <si>
    <t>chr6</t>
  </si>
  <si>
    <t>chr15</t>
  </si>
  <si>
    <t>chr22</t>
  </si>
  <si>
    <t>chr_name</t>
    <phoneticPr fontId="2" type="noConversion"/>
  </si>
  <si>
    <t>chr_start</t>
    <phoneticPr fontId="2" type="noConversion"/>
  </si>
  <si>
    <t>chr_end</t>
    <phoneticPr fontId="2" type="noConversion"/>
  </si>
  <si>
    <t>region_index</t>
    <phoneticPr fontId="2" type="noConversion"/>
  </si>
  <si>
    <t>left_barcode_length</t>
    <phoneticPr fontId="2" type="noConversion"/>
  </si>
  <si>
    <t>right_barcode_length</t>
    <phoneticPr fontId="2" type="noConversion"/>
  </si>
  <si>
    <t>left_primer</t>
    <phoneticPr fontId="2" type="noConversion"/>
  </si>
  <si>
    <t>right_primer</t>
    <phoneticPr fontId="2" type="noConversion"/>
  </si>
  <si>
    <t>emx-PAM-1</t>
    <phoneticPr fontId="2" type="noConversion"/>
  </si>
  <si>
    <t>TGGGGAGACATTATTCAACCTTCA</t>
  </si>
  <si>
    <t>CTTGCAATTACTCTGGGCCAC</t>
  </si>
  <si>
    <t>emx-PAM-1_HTSfwd</t>
    <phoneticPr fontId="2" type="noConversion"/>
  </si>
  <si>
    <t>emx-PAM-1_HTSrev</t>
    <phoneticPr fontId="2" type="noConversion"/>
  </si>
  <si>
    <t>Amplicon length</t>
    <phoneticPr fontId="2" type="noConversion"/>
  </si>
  <si>
    <t>GGAATAGTTGTCTCCAGGGGG</t>
  </si>
  <si>
    <t>TGCTTTCACAGTTCATATCATGTC</t>
  </si>
  <si>
    <t>emx-PAM-2</t>
  </si>
  <si>
    <t>emx-PAM-2_HTSfwd</t>
  </si>
  <si>
    <t>emx-PAM-2_HTSrev</t>
  </si>
  <si>
    <t>TGGAGTTCAGACGTGTGCTCTTCCGATCTNNNNNNTGGGGAGACATTATTCAACCTTCA</t>
    <phoneticPr fontId="2" type="noConversion"/>
  </si>
  <si>
    <t>ACACTCTTTCCCTACACGACGCTCTTCCGATCTNNNNCTTGCAATTACTCTGGGCCAC</t>
    <phoneticPr fontId="2" type="noConversion"/>
  </si>
  <si>
    <t>emx-PAM-3_HTSfwd</t>
  </si>
  <si>
    <t>emx-PAM-3_HTSrev</t>
  </si>
  <si>
    <t>emx-PAM-3</t>
  </si>
  <si>
    <t>TTGGCCCCAGTCTCTCTTCTAT</t>
  </si>
  <si>
    <t>Sequence (5'-&gt;3')</t>
  </si>
  <si>
    <t>Length</t>
  </si>
  <si>
    <t>Tm</t>
  </si>
  <si>
    <t>GC%</t>
  </si>
  <si>
    <t>Self complementarity</t>
  </si>
  <si>
    <t>Self 3' complementarity</t>
  </si>
  <si>
    <t>ACACTCTTTCCCTACACGACGCTCTTCCGATCTNNNNGGAATAGTTGTCTCCAGGGGG</t>
    <phoneticPr fontId="2" type="noConversion"/>
  </si>
  <si>
    <t>TGGAGTTCAGACGTGTGCTCTTCCGATCTNNNNNNTGCTTTCACAGTTCATATCATGTC</t>
    <phoneticPr fontId="2" type="noConversion"/>
  </si>
  <si>
    <t>emx-PAM-4</t>
  </si>
  <si>
    <t>emx-PAM-4_HTSfwd</t>
  </si>
  <si>
    <t>emx-PAM-4_HTSrev</t>
  </si>
  <si>
    <t>AATTATAATAATGTCCCTGCCCGG</t>
  </si>
  <si>
    <t>emx-PAM-5</t>
  </si>
  <si>
    <t>emx-PAM-6</t>
  </si>
  <si>
    <t>ACTCAAAAGAAAGCCAAGGGGAA</t>
  </si>
  <si>
    <t>ACAATTTCCCACAAAGTCCATC</t>
  </si>
  <si>
    <t>3140/3342</t>
    <phoneticPr fontId="2" type="noConversion"/>
  </si>
  <si>
    <t>TGGAGTTCAGACGTGTGCTCTTCCGATCTNNNNNNAATTATAATAATGTCCCTGCCCGG</t>
    <phoneticPr fontId="2" type="noConversion"/>
  </si>
  <si>
    <t>ACACTCTTTCCCTACACGACGCTCTTCCGATCTNNNNTTGGCCCCAGTCTCTCTTCTAT</t>
    <phoneticPr fontId="2" type="noConversion"/>
  </si>
  <si>
    <t>emx-PAM-5_HTSfwd</t>
  </si>
  <si>
    <t>emx-PAM-5_HTSrev</t>
  </si>
  <si>
    <t>GTGGCCTTGTACCTCTCCCG</t>
  </si>
  <si>
    <t>GCTGTCTCAAGGGACAAGGAGAAG</t>
  </si>
  <si>
    <t>TGGAGTTCAGACGTGTGCTCTTCCGATCTNNNNNNACTCAAAAGAAAGCCAAGGGGAA</t>
    <phoneticPr fontId="2" type="noConversion"/>
  </si>
  <si>
    <t>ACACTCTTTCCCTACACGACGCTCTTCCGATCTNNNNACAATTTCCCACAAAGTCCATC</t>
    <phoneticPr fontId="2" type="noConversion"/>
  </si>
  <si>
    <t>emx-PAM-6_HTSfwd</t>
  </si>
  <si>
    <t>emx-PAM-6_HTSrev</t>
  </si>
  <si>
    <t>CAAAGGGGTTATGGCGGTC</t>
  </si>
  <si>
    <t>TGGAAAGAAGAAGTAGTGAACACA</t>
  </si>
  <si>
    <t>TGGAGTTCAGACGTGTGCTCTTCCGATCTNNNNNNGCTGTCTCAAGGGACAAGGAGAAG</t>
    <phoneticPr fontId="2" type="noConversion"/>
  </si>
  <si>
    <t>ACACTCTTTCCCTACACGACGCTCTTCCGATCTNNNNGTGGCCTTGTACCTCTCCCG</t>
    <phoneticPr fontId="2" type="noConversion"/>
  </si>
  <si>
    <t>emx-PAM-7_HTSfwd</t>
  </si>
  <si>
    <t>emx-PAM-7_HTSrev</t>
  </si>
  <si>
    <t>emx-PAM-7</t>
  </si>
  <si>
    <t>emx-PAM-8</t>
  </si>
  <si>
    <t>emx-PAM-8_HTSrev</t>
  </si>
  <si>
    <t>TCAGAAGCGATGTGAGATTTC</t>
  </si>
  <si>
    <t>ACTCCAGAGGATTCACTTTGC</t>
  </si>
  <si>
    <t>GCCTTTCTCCAACAATGACTTTAG</t>
  </si>
  <si>
    <t>CAGGGCTCGGATGGAACTAT</t>
  </si>
  <si>
    <t>ACACTCTTTCCCTACACGACGCTCTTCCGATCTNNNNCAAAGGGGTTATGGCGGTC</t>
    <phoneticPr fontId="2" type="noConversion"/>
  </si>
  <si>
    <t>TGGAGTTCAGACGTGTGCTCTTCCGATCTNNNNNNTGGAAAGAAGAAGTAGTGAACACA</t>
    <phoneticPr fontId="2" type="noConversion"/>
  </si>
  <si>
    <t>ACACTCTTTCCCTACACGACGCTCTTCCGATCTNNNNTCAGAAGCGATGTGAGATTTC</t>
    <phoneticPr fontId="2" type="noConversion"/>
  </si>
  <si>
    <t>TGGAGTTCAGACGTGTGCTCTTCCGATCTNNNNNNACTCCAGAGGATTCACTTTGC</t>
    <phoneticPr fontId="2" type="noConversion"/>
  </si>
  <si>
    <t>emx-APOUGI-1</t>
    <phoneticPr fontId="2" type="noConversion"/>
  </si>
  <si>
    <t>emx-APOUGI-2</t>
  </si>
  <si>
    <t>emx-APOUGI-3</t>
  </si>
  <si>
    <t>emx-APOUGI-4</t>
  </si>
  <si>
    <t>emx-APOUGI-5</t>
  </si>
  <si>
    <t>emx-APOUGI-6</t>
  </si>
  <si>
    <t>GCATCTCTTGAGCTGTAGGGAC</t>
  </si>
  <si>
    <t>TTGTGCTGATCTGTGGGTATCC</t>
  </si>
  <si>
    <t>emx-PAM-8_HTSfwd</t>
    <phoneticPr fontId="2" type="noConversion"/>
  </si>
  <si>
    <t>emx-APOUGI-1_HTSfwd</t>
    <phoneticPr fontId="2" type="noConversion"/>
  </si>
  <si>
    <t>emx-APOUGI-1_HTSrev</t>
    <phoneticPr fontId="2" type="noConversion"/>
  </si>
  <si>
    <t>ACACTCTTTCCCTACACGACGCTCTTCCGATCTNNNNCAGGGCTCGGATGGAACTAT</t>
    <phoneticPr fontId="2" type="noConversion"/>
  </si>
  <si>
    <t>TGGAGTTCAGACGTGTGCTCTTCCGATCTNNNNNNGCCTTTCTCCAACAATGACTTTAG</t>
    <phoneticPr fontId="2" type="noConversion"/>
  </si>
  <si>
    <t>emx-APOUGI-2_HTSfwd</t>
  </si>
  <si>
    <t>emx-APOUGI-2_HTSrev</t>
  </si>
  <si>
    <t>GCCACCTCTTGCCTGTCACG</t>
  </si>
  <si>
    <t>GGATCGCAGCCTGGAGTTAAGG</t>
  </si>
  <si>
    <t>ACACTCTTTCCCTACACGACGCTCTTCCGATCTNNNNGCATCTCTTGAGCTGTAGGGAC</t>
    <phoneticPr fontId="2" type="noConversion"/>
  </si>
  <si>
    <t>CTGAGCGAGGTGGACTATGC</t>
  </si>
  <si>
    <t>AGTGCTGAATGGTGGAGTGAAA</t>
  </si>
  <si>
    <t>emx-APOUGI-3_HTSfwd</t>
  </si>
  <si>
    <t>emx-APOUGI-3_HTSrev</t>
  </si>
  <si>
    <t>ACACTCTTTCCCTACACGACGCTCTTCCGATCTNNNNGCCACCTCTTGCCTGTCACG</t>
    <phoneticPr fontId="2" type="noConversion"/>
  </si>
  <si>
    <t>GCATGAGCGGGAACAGTCG</t>
  </si>
  <si>
    <t>emx-APOUGI-4_HTSfwd</t>
  </si>
  <si>
    <t>emx-APOUGI-4_HTSrev</t>
  </si>
  <si>
    <t>TGGAGTTCAGACGTGTGCTCTTCCGATCTNNNNNNTTGTGCTGATCTGTGGGTATCC</t>
    <phoneticPr fontId="2" type="noConversion"/>
  </si>
  <si>
    <t>TGGAGTTCAGACGTGTGCTCTTCCGATCTNNNNNNGGATCGCAGCCTGGAGTTAAGG</t>
    <phoneticPr fontId="2" type="noConversion"/>
  </si>
  <si>
    <t>GAAGGAGAGCTGATGGGATGAAAA</t>
  </si>
  <si>
    <t>ACACTCTTTCCCTACACGACGCTCTTCCGATCTNNNNCTGAGCGAGGTGGACTATGC</t>
    <phoneticPr fontId="2" type="noConversion"/>
  </si>
  <si>
    <t>TGGAGTTCAGACGTGTGCTCTTCCGATCTNNNNNNAGTGCTGAATGGTGGAGTGAAA</t>
    <phoneticPr fontId="2" type="noConversion"/>
  </si>
  <si>
    <t>CCCAGATCCTACAAGTAACAGTCC</t>
  </si>
  <si>
    <t>ACTTATCTACGCCCCACTTTGA</t>
  </si>
  <si>
    <t>emx-APOUGI-5_HTSfwd</t>
  </si>
  <si>
    <t>emx-APOUGI-5_HTSrev</t>
  </si>
  <si>
    <t>emx-APOUGI-6_HTSrev</t>
  </si>
  <si>
    <t>TGGAGTTCAGACGTGTGCTCTTCCGATCTNNNNNNGAAGGAGAGCTGATGGGATGAAAA</t>
    <phoneticPr fontId="2" type="noConversion"/>
  </si>
  <si>
    <t>TGGAGTTCAGACGTGTGCTCTTCCGATCTNNNNNNCCCAGATCCTACAAGTAACAGTCC</t>
    <phoneticPr fontId="2" type="noConversion"/>
  </si>
  <si>
    <t>ACACTCTTTCCCTACACGACGCTCTTCCGATCTNNNNGCATGAGCGGGAACAGTCG</t>
    <phoneticPr fontId="2" type="noConversion"/>
  </si>
  <si>
    <t>ACACTCTTTCCCTACACGACGCTCTTCCGATCTNNNNACTTATCTACGCCCCACTTTGA</t>
    <phoneticPr fontId="2" type="noConversion"/>
  </si>
  <si>
    <t>GACCACAGCTGTCCAAACGAG</t>
  </si>
  <si>
    <t>GTCCTTAGAAAGTCATGCCCCAG</t>
  </si>
  <si>
    <t>emx-HighMis-1</t>
    <phoneticPr fontId="2" type="noConversion"/>
  </si>
  <si>
    <t>emx-APOUGI-6_HTSfwd</t>
    <phoneticPr fontId="2" type="noConversion"/>
  </si>
  <si>
    <t>emx-HighMis-1_HTSfwd</t>
    <phoneticPr fontId="2" type="noConversion"/>
  </si>
  <si>
    <t>emx-HighMis-1_HTSrev</t>
    <phoneticPr fontId="2" type="noConversion"/>
  </si>
  <si>
    <t>emx-HighMis-2_HTSfwd</t>
  </si>
  <si>
    <t>emx-HighMis-2_HTSrev</t>
  </si>
  <si>
    <t>emx-HighMis-3_HTSfwd</t>
  </si>
  <si>
    <t>emx-HighMis-3_HTSrev</t>
  </si>
  <si>
    <t>emx-HighMis-4_HTSfwd</t>
  </si>
  <si>
    <t>emx-HighMis-4_HTSrev</t>
  </si>
  <si>
    <t>emx-HighMis-5_HTSrev</t>
  </si>
  <si>
    <t>total</t>
    <phoneticPr fontId="2" type="noConversion"/>
  </si>
  <si>
    <t>design</t>
    <phoneticPr fontId="2" type="noConversion"/>
  </si>
  <si>
    <t>emx-HighMis-2</t>
  </si>
  <si>
    <t>emx-HighMis-3</t>
  </si>
  <si>
    <t>emx-HighMis-4</t>
  </si>
  <si>
    <t>emx-HighMis-5</t>
  </si>
  <si>
    <t>CAATACGCATAGAACACAAGGTAA</t>
  </si>
  <si>
    <t>GGGGTAGAATTTGTAGAGTGCC</t>
  </si>
  <si>
    <t>TTGAGTGTCTAGGAGTTGTGTG</t>
  </si>
  <si>
    <t>TCATCAAGAAATATCTAGGCACAG</t>
  </si>
  <si>
    <t>ACACTCTTTCCCTACACGACGCTCTTCCGATCTNNNNGGGGTAGAATTTGTAGAGTGCC</t>
    <phoneticPr fontId="2" type="noConversion"/>
  </si>
  <si>
    <t>TGGAGTTCAGACGTGTGCTCTTCCGATCTNNNNNNCAATACGCATAGAACACAAGGTAA</t>
    <phoneticPr fontId="2" type="noConversion"/>
  </si>
  <si>
    <t>AACGCAAGTGGGAAAAATAAGAGT</t>
  </si>
  <si>
    <t>ACTACAGAAAGGAGCCAGCAG</t>
  </si>
  <si>
    <t>TGGAGTTCAGACGTGTGCTCTTCCGATCTNNNNNNTCATCAAGAAATATCTAGGCACAG</t>
    <phoneticPr fontId="2" type="noConversion"/>
  </si>
  <si>
    <t>ACACTCTTTCCCTACACGACGCTCTTCCGATCTNNNNTTGAGTGTCTAGGAGTTGTGTG</t>
    <phoneticPr fontId="2" type="noConversion"/>
  </si>
  <si>
    <t>TAGGCAATAAAACCCACCACCA</t>
  </si>
  <si>
    <t>AAGATGTGCACTCATGTAATCACC</t>
  </si>
  <si>
    <t>ACACTCTTTCCCTACACGACGCTCTTCCGATCTNNNNACTACAGAAAGGAGCCAGCAG</t>
    <phoneticPr fontId="2" type="noConversion"/>
  </si>
  <si>
    <t>TGGAGTTCAGACGTGTGCTCTTCCGATCTNNNNNNAACGCAAGTGGGAAAAATAAGAGT</t>
    <phoneticPr fontId="2" type="noConversion"/>
  </si>
  <si>
    <t>CACTGTAAAATTTGTCACAACC</t>
  </si>
  <si>
    <t>CGTTGAGGATGAAAATGGAGAAA</t>
  </si>
  <si>
    <t>ACACTCTTTCCCTACACGACGCTCTTCCGATCTNNNNTAGGCAATAAAACCCACCACCA</t>
    <phoneticPr fontId="2" type="noConversion"/>
  </si>
  <si>
    <t>TGGAGTTCAGACGTGTGCTCTTCCGATCTNNNNNNAAGATGTGCACTCATGTAATCACC</t>
    <phoneticPr fontId="2" type="noConversion"/>
  </si>
  <si>
    <t>GAGAACCCTTTTTAAGCACTGG</t>
  </si>
  <si>
    <t>TCTAAGACCCTCACATCAAAGG</t>
  </si>
  <si>
    <t>emx-NOWin-1</t>
    <phoneticPr fontId="2" type="noConversion"/>
  </si>
  <si>
    <t>emx-HighMis-5_HTSfwd</t>
    <phoneticPr fontId="2" type="noConversion"/>
  </si>
  <si>
    <t>emx-NOWin-1_HTSrev</t>
    <phoneticPr fontId="2" type="noConversion"/>
  </si>
  <si>
    <t>ACACTCTTTCCCTACACGACGCTCTTCCGATCTNNNNCACTGTAAAATTTGTCACAACC</t>
    <phoneticPr fontId="2" type="noConversion"/>
  </si>
  <si>
    <t>TGGAGTTCAGACGTGTGCTCTTCCGATCTNNNNNNCGTTGAGGATGAAAATGGAGAAA</t>
    <phoneticPr fontId="2" type="noConversion"/>
  </si>
  <si>
    <t>ACACTCTTTCCCTACACGACGCTCTTCCGATCTNNNNGAGAACCCTTTTTAAGCACTGG</t>
    <phoneticPr fontId="2" type="noConversion"/>
  </si>
  <si>
    <t>highmismatch</t>
    <phoneticPr fontId="2" type="noConversion"/>
  </si>
  <si>
    <t>TCACCTGGATGATCTAAACAAACT</t>
  </si>
  <si>
    <t>TTGCGGGGGTTGAGTGATAAAA</t>
  </si>
  <si>
    <t>emx-NOLap-2</t>
  </si>
  <si>
    <t>emx-NOLap-3</t>
  </si>
  <si>
    <t>emx-NOLap-4</t>
  </si>
  <si>
    <t>emx-NOLap-1_HTSfwd</t>
    <phoneticPr fontId="2" type="noConversion"/>
  </si>
  <si>
    <t>emx-NOLap-1_HTSrev</t>
    <phoneticPr fontId="2" type="noConversion"/>
  </si>
  <si>
    <t>GGCATTTTTGTCCATCTGCCT</t>
  </si>
  <si>
    <t>GCAGTGGAATGTGAAAAGTACTCC</t>
  </si>
  <si>
    <t>emx-NOLap-2_HTSfwd</t>
  </si>
  <si>
    <t>emx-NOLap-2_HTSrev</t>
  </si>
  <si>
    <t>emx-NOLap-3_HTSfwd</t>
  </si>
  <si>
    <t>emx-NOLap-3_HTSrev</t>
  </si>
  <si>
    <t>emx-NOLap-4_HTSrev</t>
  </si>
  <si>
    <t>ACTGACATTTTCCCTCTGGTTT</t>
  </si>
  <si>
    <t>TTCCAGAATTGATAAGACACACCA</t>
  </si>
  <si>
    <t>ACTGGTTTCCTGGCCTCTCAAC</t>
  </si>
  <si>
    <t>CAGTGGAGGTAGGTTACATAGAGC</t>
  </si>
  <si>
    <t>emx-dU-1</t>
    <phoneticPr fontId="2" type="noConversion"/>
  </si>
  <si>
    <t>emx-dU-1_HTSfwd</t>
    <phoneticPr fontId="2" type="noConversion"/>
  </si>
  <si>
    <t>emx-dU-1_HTSrev</t>
    <phoneticPr fontId="2" type="noConversion"/>
  </si>
  <si>
    <t>GTCTAAGCTGATTGGAGAGGTAAT</t>
  </si>
  <si>
    <t>CCATCTAAATGTCTTCCTCTGT</t>
  </si>
  <si>
    <t>TGGAGTTCAGACGTGTGCTCTTCCGATCTNNNNNNTCACCTGGATGATCTAAACAAACT</t>
    <phoneticPr fontId="2" type="noConversion"/>
  </si>
  <si>
    <t>ACACTCTTTCCCTACACGACGCTCTTCCGATCTNNNNTTGCGGGGGTTGAGTGATAAAA</t>
    <phoneticPr fontId="2" type="noConversion"/>
  </si>
  <si>
    <t>ACACTCTTTCCCTACACGACGCTCTTCCGATCTNNNNGGCATTTTTGTCCATCTGCCT</t>
    <phoneticPr fontId="2" type="noConversion"/>
  </si>
  <si>
    <t>TGGAGTTCAGACGTGTGCTCTTCCGATCTNNNNNNGCAGTGGAATGTGAAAAGTACTCC</t>
    <phoneticPr fontId="2" type="noConversion"/>
  </si>
  <si>
    <t>ACACTCTTTCCCTACACGACGCTCTTCCGATCTNNNNACTGACATTTTCCCTCTGGTTT</t>
    <phoneticPr fontId="2" type="noConversion"/>
  </si>
  <si>
    <t>TGGAGTTCAGACGTGTGCTCTTCCGATCTNNNNNNTTCCAGAATTGATAAGACACACCA</t>
    <phoneticPr fontId="2" type="noConversion"/>
  </si>
  <si>
    <t>TGGAGTTCAGACGTGTGCTCTTCCGATCTNNNNNNGTCTAAGCTGATTGGAGAGGTAAT</t>
    <phoneticPr fontId="2" type="noConversion"/>
  </si>
  <si>
    <t>ACACTCTTTCCCTACACGACGCTCTTCCGATCTNNNNGACCACAGCTGTCCAAACGAG</t>
    <phoneticPr fontId="2" type="noConversion"/>
  </si>
  <si>
    <t>ACACTCTTTCCCTACACGACGCTCTTCCGATCTNNNNCCATCTAAATGTCTTCCTCTGT</t>
    <phoneticPr fontId="2" type="noConversion"/>
  </si>
  <si>
    <t>190902-overlap-sgRNA_possible_dependent.chr22_48066976_48067096.png</t>
    <phoneticPr fontId="2" type="noConversion"/>
  </si>
  <si>
    <t>emx-SGdep-1</t>
    <phoneticPr fontId="2" type="noConversion"/>
  </si>
  <si>
    <t>emx-NOWin-1_HTSfwd</t>
    <phoneticPr fontId="2" type="noConversion"/>
  </si>
  <si>
    <t>emx-SGdep-1_HTSfwd</t>
    <phoneticPr fontId="2" type="noConversion"/>
  </si>
  <si>
    <t>emx-SGdep-1_HTSrev</t>
    <phoneticPr fontId="2" type="noConversion"/>
  </si>
  <si>
    <t>TGTGATGACATCGAGAAGCTTGA</t>
  </si>
  <si>
    <t>GATTGAAGTTCCTTGGCCCAC</t>
  </si>
  <si>
    <t>TGGAGTTCAGACGTGTGCTCTTCCGATCTNNNNNNTCTAAGACCCTCACATCAAAGG</t>
    <phoneticPr fontId="2" type="noConversion"/>
  </si>
  <si>
    <t>ACACTCTTTCCCTACACGACGCTCTTCCGATCTNNNNACTGGTTTCCTGGCCTCTCAAC</t>
    <phoneticPr fontId="2" type="noConversion"/>
  </si>
  <si>
    <t>GACCCCCTCCACCCCGCCTCCGG</t>
  </si>
  <si>
    <t>GACCCCCTCCACCCCGCCTCNGG</t>
  </si>
  <si>
    <t>VEGFA_site2</t>
  </si>
  <si>
    <t>U2OS</t>
  </si>
  <si>
    <t>-</t>
  </si>
  <si>
    <t>CCCCCTCCCCGCCCCGCCCCCGG</t>
  </si>
  <si>
    <t>VEGFA-off-target-15</t>
  </si>
  <si>
    <t>VEGFA_site2_chr8_145008405_603</t>
  </si>
  <si>
    <t>CCTCCCCCACACCCCGCATCCGG</t>
  </si>
  <si>
    <t>+</t>
  </si>
  <si>
    <t>VEGFA-off-target-14</t>
  </si>
  <si>
    <t>VEGFA_site2_chr1_151031887_625</t>
  </si>
  <si>
    <t>CACCCCCCCCCCCCCACCTCCGG</t>
  </si>
  <si>
    <t>VEGFA-off-target-13</t>
  </si>
  <si>
    <t>VEGFA_site2_chr11_76495788_627</t>
  </si>
  <si>
    <t>CCCCCCCCCCCCCCCGCCTCCGG</t>
  </si>
  <si>
    <t>VEGFA-off-target-12</t>
  </si>
  <si>
    <t>VEGFA_site2_chr22_50884803_704</t>
  </si>
  <si>
    <t>CCCCACCCCCACCCCGCCTCAGG</t>
  </si>
  <si>
    <t>VEGFA-off-target-11</t>
  </si>
  <si>
    <t>VEGFA_site2_chr10_116294256_704</t>
  </si>
  <si>
    <t>GTACCCCACCACCCCGCCCCAGG</t>
  </si>
  <si>
    <t>VEGFA-off-target-10</t>
  </si>
  <si>
    <t>VEGFA_site2_chr8_144822961_728</t>
  </si>
  <si>
    <t>GACCCCTCCCACCCCGACTCCGG</t>
  </si>
  <si>
    <t>VEGFA-off-target-09</t>
  </si>
  <si>
    <t>VEGFA_site2_chr9_27338874_767</t>
  </si>
  <si>
    <t>TGCCCCTCCCACCCCGCCTCTGG</t>
  </si>
  <si>
    <t>VEGFA-off-target-08</t>
  </si>
  <si>
    <t>VEGFA_site2_chr17_40044757_791</t>
  </si>
  <si>
    <t>TACCCCCCACACCCCGCCTCTGG</t>
  </si>
  <si>
    <t>VEGFA-off-target-07</t>
  </si>
  <si>
    <t>VEGFA_site2_chr17_4358752_803</t>
  </si>
  <si>
    <t>GCTTCCCTCCACCCCGCATCCGG</t>
  </si>
  <si>
    <t>VEGFA-off-target-06</t>
  </si>
  <si>
    <t>VEGFA_site2_chr11_71948805_919</t>
  </si>
  <si>
    <t>CTCCCCCCCCACCCCGCCTCAGG</t>
  </si>
  <si>
    <t>VEGFA-off-target-05</t>
  </si>
  <si>
    <t>VEGFA_site2_chr4_38537627_1054</t>
  </si>
  <si>
    <t>NA</t>
    <phoneticPr fontId="2" type="noConversion"/>
  </si>
  <si>
    <t>TGCCCCCCCCACCCCACCTCTGG</t>
  </si>
  <si>
    <t>VEGFA-off-target-04</t>
  </si>
  <si>
    <t>VEGFA_site2_chr16_56963429_1107</t>
  </si>
  <si>
    <t>ACACCCCCCCACCCCGCCTCAGG</t>
  </si>
  <si>
    <t>VEGFA-off-target-03</t>
  </si>
  <si>
    <t>VEGFA_site2_chr9_103599649_1178</t>
  </si>
  <si>
    <t>ATTCCCCCCCACCCCGCCTCAGG</t>
  </si>
  <si>
    <t>VEGFA-off-target-02</t>
  </si>
  <si>
    <t>VEGFA_site2_chr2_242214606_1549</t>
  </si>
  <si>
    <t>CTACCCCTCCACCCCGCCTCCGG</t>
  </si>
  <si>
    <t>VEGFA-off-target-01</t>
    <phoneticPr fontId="2" type="noConversion"/>
  </si>
  <si>
    <t>VEGFA_site2_chr5_6715118_1925</t>
  </si>
  <si>
    <t>Mismatch Total</t>
  </si>
  <si>
    <t>3 bp PAM # mismatches</t>
  </si>
  <si>
    <t>20 bp protospacer # mismatches</t>
  </si>
  <si>
    <t>Offtarget_Sequence</t>
  </si>
  <si>
    <t>Target_Sequence</t>
  </si>
  <si>
    <t>Targetsite</t>
  </si>
  <si>
    <t>Cells</t>
  </si>
  <si>
    <t>Strand</t>
  </si>
  <si>
    <t>GUIDE-Seq Reads</t>
  </si>
  <si>
    <t>Name2</t>
    <phoneticPr fontId="2" type="noConversion"/>
  </si>
  <si>
    <t>Name</t>
  </si>
  <si>
    <t>end</t>
    <phoneticPr fontId="2" type="noConversion"/>
  </si>
  <si>
    <t>start</t>
    <phoneticPr fontId="2" type="noConversion"/>
  </si>
  <si>
    <t>vegfa-Guideseq-1</t>
    <phoneticPr fontId="2" type="noConversion"/>
  </si>
  <si>
    <t>vegfa-Guideseq-2</t>
    <phoneticPr fontId="2" type="noConversion"/>
  </si>
  <si>
    <t>vegfa-Guideseq-3</t>
    <phoneticPr fontId="2" type="noConversion"/>
  </si>
  <si>
    <t>vegfa-Guideseq-6</t>
    <phoneticPr fontId="2" type="noConversion"/>
  </si>
  <si>
    <t>TTCTGCAACTTAACTTACGTGAAA</t>
  </si>
  <si>
    <t>vegfa-Guideseq-1_HTSfwd</t>
    <phoneticPr fontId="2" type="noConversion"/>
  </si>
  <si>
    <t>vegfa-Guideseq-1_HTSrev</t>
    <phoneticPr fontId="2" type="noConversion"/>
  </si>
  <si>
    <t>CCTACAAGTAACAGTCCAAGAA</t>
  </si>
  <si>
    <t>TGGAGTTCAGACGTGTGCTCTTCCGATCTNNNNNNCAGTGGAGGTAGGTTACATAGAGC</t>
    <phoneticPr fontId="2" type="noConversion"/>
  </si>
  <si>
    <t>vegfa-Guideseq-2_HTSfwd</t>
  </si>
  <si>
    <t>vegfa-Guideseq-2_HTSrev</t>
  </si>
  <si>
    <t>vegfa-Guideseq-3_HTSfwd</t>
  </si>
  <si>
    <t>vegfa-Guideseq-3_HTSrev</t>
  </si>
  <si>
    <t>ACCAAGCCCATTTGTCCAGG</t>
  </si>
  <si>
    <t>TCCTTCTTTTTGAGCTTTGGGCTT</t>
  </si>
  <si>
    <t>liu</t>
    <phoneticPr fontId="2" type="noConversion"/>
  </si>
  <si>
    <t>CACAAGAACCTGCTGTCTAAACTT</t>
  </si>
  <si>
    <t>GGGTTTGAGTGCACGCCG</t>
  </si>
  <si>
    <t>vegfa-Guideseq-6_HTSfwd</t>
  </si>
  <si>
    <t>vegfa-Guideseq-6_HTSrev</t>
  </si>
  <si>
    <t>vegfa-Guideseq-7_HTSfwd</t>
  </si>
  <si>
    <t>vegfa-Guideseq-7_HTSrev</t>
  </si>
  <si>
    <t>VEGFA_site2</t>
    <phoneticPr fontId="2" type="noConversion"/>
  </si>
  <si>
    <t>VEGFA-on-target</t>
    <phoneticPr fontId="2" type="noConversion"/>
  </si>
  <si>
    <t>ACACTCTTTCCCTACACGACGCTCTTCCGATCTNNNNACCAAGCCCATTTGTCCAGG</t>
    <phoneticPr fontId="2" type="noConversion"/>
  </si>
  <si>
    <t>ACACTCTTTCCCTACACGACGCTCTTCCGATCTNNNNGGGTTTGAGTGCACGCCG</t>
    <phoneticPr fontId="2" type="noConversion"/>
  </si>
  <si>
    <t>TGGAGTTCAGACGTGTGCTCTTCCGATCTNNNNNNTCCTTCTTTTTGAGCTTTGGGCTT</t>
    <phoneticPr fontId="2" type="noConversion"/>
  </si>
  <si>
    <t>vegfa-Guideseq-7</t>
  </si>
  <si>
    <t>CTCCAGAGATGAGCAGGCAAG</t>
  </si>
  <si>
    <t>AGACACGGTGCTCATGAGAGG</t>
  </si>
  <si>
    <t>vegfa-Ontarget-1_HTSfwd</t>
    <phoneticPr fontId="2" type="noConversion"/>
  </si>
  <si>
    <t>vegfa-Ontarget-1_HTSrev</t>
    <phoneticPr fontId="2" type="noConversion"/>
  </si>
  <si>
    <t>ACACTCTTTCCCTACACGACGCTCTTCCGATCTNNNNCTGAGCGAGGTGGACTATGC</t>
    <phoneticPr fontId="2" type="noConversion"/>
  </si>
  <si>
    <t>TGGAGTTCAGACGTGTGCTCTTCCGATCTNNNNNNAGTGCTGAATGGTGGAGTGAAA</t>
    <phoneticPr fontId="2" type="noConversion"/>
  </si>
  <si>
    <t>ACACTCTTTCCCTACACGACGCTCTTCCGATCTNNNNCTCCAGAGATGAGCAGGCAAG</t>
    <phoneticPr fontId="2" type="noConversion"/>
  </si>
  <si>
    <t>TGGAGTTCAGACGTGTGCTCTTCCGATCTNNNNNNAGACACGGTGCTCATGAGAGG</t>
    <phoneticPr fontId="2" type="noConversion"/>
  </si>
  <si>
    <t>CCTTGGGATCCCGCAGCTGA</t>
  </si>
  <si>
    <t>CTAGCACTTCTCGCGGCTCC</t>
  </si>
  <si>
    <t>fwd_EMX1_off2_HTS</t>
    <phoneticPr fontId="9" type="noConversion"/>
  </si>
  <si>
    <t>fwd_EMX1_off3_HTS</t>
    <phoneticPr fontId="9" type="noConversion"/>
  </si>
  <si>
    <t>fwd_EMX1_off4_HTS</t>
    <phoneticPr fontId="9" type="noConversion"/>
  </si>
  <si>
    <t>fwd_EMX1_off5_HTS</t>
    <phoneticPr fontId="9" type="noConversion"/>
  </si>
  <si>
    <t>fwd_EMX1_off6_HTS</t>
    <phoneticPr fontId="9" type="noConversion"/>
  </si>
  <si>
    <t>fwd_EMX1_off10_HTS</t>
  </si>
  <si>
    <t>fwd_EMX1_off13_HTS</t>
    <phoneticPr fontId="9" type="noConversion"/>
  </si>
  <si>
    <t>emx1-Guideseq-1_HTSrev</t>
    <phoneticPr fontId="2" type="noConversion"/>
  </si>
  <si>
    <t>emx1-Guideseq-2_HTSrev</t>
    <phoneticPr fontId="2" type="noConversion"/>
  </si>
  <si>
    <t>emx1-Guideseq-3_HTSrev</t>
    <phoneticPr fontId="2" type="noConversion"/>
  </si>
  <si>
    <t>emx1-Guideseq-4_HTSrev</t>
    <phoneticPr fontId="2" type="noConversion"/>
  </si>
  <si>
    <t>emx1-Guideseq-5_HTSrev</t>
    <phoneticPr fontId="2" type="noConversion"/>
  </si>
  <si>
    <t>emx1-Guideseq-6_HTSrev</t>
    <phoneticPr fontId="2" type="noConversion"/>
  </si>
  <si>
    <t>emx1-Guideseq-13_HTSrev</t>
    <phoneticPr fontId="2" type="noConversion"/>
  </si>
  <si>
    <t>GAGCACGAGCAAGAGAAGAAGGG</t>
  </si>
  <si>
    <t>GAGTCCGAGCAGAAGAAGAANGG</t>
  </si>
  <si>
    <t>EMX1</t>
  </si>
  <si>
    <t>EMX1-off-target-15</t>
  </si>
  <si>
    <t>EMX1_chr10_58848728_2</t>
  </si>
  <si>
    <t>GAGTCTAAGCAGGAGAATAAAGG</t>
  </si>
  <si>
    <t>EMX1-off-target-14</t>
  </si>
  <si>
    <t>EMX1_chr2_218378108_2</t>
  </si>
  <si>
    <t>TCATCCAAGCAGAAGAAGAAGAG</t>
  </si>
  <si>
    <t>EMX1-off-target-13</t>
  </si>
  <si>
    <t>EMX1_chr3_95690186_5</t>
  </si>
  <si>
    <t>AAGTCCCGGCAGAGGAAGAAGGG</t>
  </si>
  <si>
    <t>EMX1-off-target-12</t>
  </si>
  <si>
    <t>EMX1_chr15_100292479_6</t>
  </si>
  <si>
    <t>GAGTAGGAGCAGGAGAAGAAGGA</t>
  </si>
  <si>
    <t>EMX1-off-target-11</t>
  </si>
  <si>
    <t>EMX1_chr13_27769657_7</t>
  </si>
  <si>
    <t>ACGTCTGAGCAGAAGAAGAATGG</t>
  </si>
  <si>
    <t>EMX1-off-target-10</t>
  </si>
  <si>
    <t>EMX1_chr6_9118799_38</t>
  </si>
  <si>
    <t>GAATCCAAGCAGGAGAAGAAGGA</t>
  </si>
  <si>
    <t>EMX1-off-target-09</t>
  </si>
  <si>
    <t>EMX1_chr3_5031614_67</t>
  </si>
  <si>
    <t>AAGTCCGAGGAGAGGAAGAAAGG</t>
  </si>
  <si>
    <t>EMX1-off-target-08</t>
  </si>
  <si>
    <t>EMX1_chr1_23720617_102</t>
  </si>
  <si>
    <t>GAGCCGGAGCAGAAGAAGGAGGG</t>
  </si>
  <si>
    <t>EMX1-off-target-07</t>
  </si>
  <si>
    <t>EMX1_chr5_146833190_143</t>
  </si>
  <si>
    <t>GAGTCCGGGAAGGAGAAGAAAGG</t>
  </si>
  <si>
    <t>EMX1-off-target-06</t>
  </si>
  <si>
    <t>EMX1_chrX_53467711_216</t>
  </si>
  <si>
    <t>AAGTCTGAGCACAAGAAGAATGG</t>
  </si>
  <si>
    <t>EMX1-off-target-05</t>
  </si>
  <si>
    <t>EMX1_chr5_9227162_258</t>
  </si>
  <si>
    <t>GAGTCCTAGCAGGAGAAGAAGAG</t>
  </si>
  <si>
    <t>EMX1-off-target-04</t>
  </si>
  <si>
    <t>EMX1_chr8_128801258_390</t>
  </si>
  <si>
    <t>GAGGCCGAGCAGAAGAAAGACGG</t>
  </si>
  <si>
    <t>EMX1-off-target-03</t>
  </si>
  <si>
    <t>EMX1_chr2_219845072_700</t>
  </si>
  <si>
    <t>GAGTCTAAGCAGAAGAAGAAGAG</t>
  </si>
  <si>
    <t>EMX1-off-target-02</t>
  </si>
  <si>
    <t>EMX1_chr15_44109763_1445</t>
  </si>
  <si>
    <t>GAGTTAGAGCAGAAGAAGAAAGG</t>
  </si>
  <si>
    <t>EMX1-off-target-01</t>
    <phoneticPr fontId="2" type="noConversion"/>
  </si>
  <si>
    <t>EMX1_chr5_45359067_3123</t>
  </si>
  <si>
    <t>GAGTCCGAGCAGAAGAAGAAGGG</t>
  </si>
  <si>
    <t>EMX1-on-target</t>
    <phoneticPr fontId="2" type="noConversion"/>
  </si>
  <si>
    <t>EMX1_chr2_73160998_4521</t>
  </si>
  <si>
    <t>end</t>
    <phoneticPr fontId="2" type="noConversion"/>
  </si>
  <si>
    <t>TGGAGTTCAGACGTGTGCTCTTCCGATCTNNNNNNCACAAGAACCTGCTGTCTAAACTT</t>
    <phoneticPr fontId="2" type="noConversion"/>
  </si>
  <si>
    <t>emx-Guideseq-7_HTSfwd</t>
    <phoneticPr fontId="2" type="noConversion"/>
  </si>
  <si>
    <t>emx-Guideseq-7</t>
    <phoneticPr fontId="2" type="noConversion"/>
  </si>
  <si>
    <t>emx-Guideseq-7_HTSrev</t>
    <phoneticPr fontId="2" type="noConversion"/>
  </si>
  <si>
    <t>GGGATGTTCTTCTTGCCTTGGT</t>
  </si>
  <si>
    <t>TTACTATTGTCTCTGGCAGCCG</t>
  </si>
  <si>
    <t>emx-Guideseq-8</t>
  </si>
  <si>
    <t>emx-Guideseq-8_HTSfwd</t>
  </si>
  <si>
    <t>emx-Guideseq-8_HTSrev</t>
  </si>
  <si>
    <t>CTCTTGAGCTCTTGGTAGATATGT</t>
  </si>
  <si>
    <t>GCCCAAGAGACATCACCACTT</t>
  </si>
  <si>
    <t>CCCACCTTTGAGGAGGCAAA</t>
  </si>
  <si>
    <t>TTTTCCATCTGAGAAGAGAGTGGT</t>
  </si>
  <si>
    <t>emx-Guideseq-9_HTSfwd</t>
  </si>
  <si>
    <t>emx-Guideseq-9_HTSrev</t>
  </si>
  <si>
    <t>emx-Guideseq-9</t>
  </si>
  <si>
    <t>emx-Guideseq-10</t>
  </si>
  <si>
    <t>emx-Guideseq-11</t>
  </si>
  <si>
    <t>emx-Guideseq-12</t>
  </si>
  <si>
    <t>emx-Guideseq-14</t>
  </si>
  <si>
    <t>emx-Guideseq-15</t>
  </si>
  <si>
    <t>emx-Guideseq-10_HTSfwd</t>
  </si>
  <si>
    <t>emx-Guideseq-10_HTSrev</t>
  </si>
  <si>
    <t>GCAATGCTCTCGTCTTCCTGCA</t>
  </si>
  <si>
    <t>AGTAAAGTCATACCTTGGCCCTTC</t>
  </si>
  <si>
    <t>emx-Guideseq-11_HTSfwd</t>
  </si>
  <si>
    <t>emx-Guideseq-11_HTSrev</t>
  </si>
  <si>
    <t>emx-Guideseq-12_HTSfwd</t>
  </si>
  <si>
    <t>emx-Guideseq-12_HTSrev</t>
  </si>
  <si>
    <t>AAAGAGATGGCTAGAGGGTGACTA</t>
  </si>
  <si>
    <t>TCTTTAAGTCACTCCTGCTCCC</t>
  </si>
  <si>
    <t>GCGTGAGTGATAAGTGGCATTTGA</t>
  </si>
  <si>
    <t>CCCACTGCTGGCCATCTGA</t>
  </si>
  <si>
    <t>emx-Guideseq-14_HTSfwd</t>
  </si>
  <si>
    <t>emx-Guideseq-14_HTSrev</t>
  </si>
  <si>
    <t>emx-Guideseq-15_HTSfwd</t>
  </si>
  <si>
    <t>emx-Guideseq-15_HTSrev</t>
  </si>
  <si>
    <t>ATTCTGTCAAAGTCTCCCTGGC</t>
  </si>
  <si>
    <t>TCCCTGCATTTCTTATCACACTTG</t>
  </si>
  <si>
    <t>CGTGGTTCTGCAGTCTATATGGAA</t>
  </si>
  <si>
    <t>AAAGTGTGTGTTGTGGTAGCCT</t>
  </si>
  <si>
    <t>emx-NOLap-1</t>
    <phoneticPr fontId="2" type="noConversion"/>
  </si>
  <si>
    <t>GGATCTCACACATTCATGCACATT</t>
  </si>
  <si>
    <t>ATCTCTACCCTCTAATGCGGC</t>
  </si>
  <si>
    <t>AGACTTGTGAAATTTGGCCAGA</t>
  </si>
  <si>
    <t>TGGCTGAAAATGTTTTTGGAGTGT</t>
  </si>
  <si>
    <t>ATTCAGATCGGGTGTTGGGAAT</t>
  </si>
  <si>
    <t>ACGTTCCCTTGAGTGTTATCCC</t>
  </si>
  <si>
    <t>CTGTTTGGAAGCTTTGGGGTCT</t>
  </si>
  <si>
    <t>ATTTTAATCTCGACGCAGGACACT</t>
  </si>
  <si>
    <t>TGGAGTTCAGACGTGTGCTCTTCCGATCTNNNNNNTGTGATGACATCGAGAAGCTTGA</t>
    <phoneticPr fontId="2" type="noConversion"/>
  </si>
  <si>
    <t>ACACTCTTTCCCTACACGACGCTCTTCCGATCTNNNNGATTGAAGTTCCTTGGCCCAC</t>
    <phoneticPr fontId="2" type="noConversion"/>
  </si>
  <si>
    <t>TGGAGTTCAGACGTGTGCTCTTCCGATCTNNNNNNGGATCTCACACATTCATGCACATT</t>
    <phoneticPr fontId="2" type="noConversion"/>
  </si>
  <si>
    <t>ACACTCTTTCCCTACACGACGCTCTTCCGATCTNNNNATCTCTACCCTCTAATGCGGC</t>
    <phoneticPr fontId="2" type="noConversion"/>
  </si>
  <si>
    <t>ACACTCTTTCCCTACACGACGCTCTTCCGATCTNNNNAGACTTGTGAAATTTGGCCAGA</t>
    <phoneticPr fontId="2" type="noConversion"/>
  </si>
  <si>
    <t>TGGAGTTCAGACGTGTGCTCTTCCGATCTNNNNNNTGGCTGAAAATGTTTTTGGAGTGT</t>
    <phoneticPr fontId="2" type="noConversion"/>
  </si>
  <si>
    <t>ACACTCTTTCCCTACACGACGCTCTTCCGATCTNNNNATTCAGATCGGGTGTTGGGAAT</t>
    <phoneticPr fontId="2" type="noConversion"/>
  </si>
  <si>
    <t>TGGAGTTCAGACGTGTGCTCTTCCGATCTNNNNNNACGTTCCCTTGAGTGTTATCCC</t>
    <phoneticPr fontId="2" type="noConversion"/>
  </si>
  <si>
    <t>ACACTCTTTCCCTACACGACGCTCTTCCGATCTNNNNCCTACAAGTAACAGTCCAAGAA</t>
    <phoneticPr fontId="2" type="noConversion"/>
  </si>
  <si>
    <t>TGGAGTTCAGACGTGTGCTCTTCCGATCTNNNNNNTTCTGCAACTTAACTTACGTGAAA</t>
    <phoneticPr fontId="2" type="noConversion"/>
  </si>
  <si>
    <t>ACACTCTTTCCCTACACGACGCTCTTCCGATCTNNNNTGCCCAATCATTGATGCTTTT</t>
    <phoneticPr fontId="2" type="noConversion"/>
  </si>
  <si>
    <t>ACACTCTTTCCCTACACGACGCTCTTCCGATCTNNNNAGTAGCCTCTTTCTCAATGTGC</t>
    <phoneticPr fontId="2" type="noConversion"/>
  </si>
  <si>
    <t>ACACTCTTTCCCTACACGACGCTCTTCCGATCTNNNNGAGCTAGACTCCGAGGGGA</t>
    <phoneticPr fontId="2" type="noConversion"/>
  </si>
  <si>
    <t>AACATTTACCATAGACTATCACCT</t>
  </si>
  <si>
    <t>TGCCCAATCATTGATGCTTTT</t>
  </si>
  <si>
    <t>fwd_EMX1_off1_HTS</t>
    <phoneticPr fontId="9" type="noConversion"/>
  </si>
  <si>
    <t>emx-Guideseq-1</t>
    <phoneticPr fontId="2" type="noConversion"/>
  </si>
  <si>
    <t>TGGAGTTCAGACGTGTGCTCTTCCGATCTnnnnnnTCCTCGTCCTGCTCTCACTT</t>
    <phoneticPr fontId="2" type="noConversion"/>
  </si>
  <si>
    <t>emx-Guideseq-2</t>
  </si>
  <si>
    <t>GAGCTAGACTCCGAGGGGA</t>
  </si>
  <si>
    <t>TCCTCGTCCTGCTCTCACTT</t>
  </si>
  <si>
    <t>emx-Guideseq-3</t>
  </si>
  <si>
    <t>emx-Guideseq-4</t>
  </si>
  <si>
    <t>emx-Guideseq-5</t>
  </si>
  <si>
    <t>emx-Guideseq-6</t>
  </si>
  <si>
    <t>ACACTCTTTCCCTACACGACGCTCTTCCGATCTNNNNAGAGGCTGAAGAGGAAGACCA</t>
    <phoneticPr fontId="2" type="noConversion"/>
  </si>
  <si>
    <t>TGGAGTTCAGACGTGTGCTCTTCCGATCTnnnnnnGGCCCAGCTGTGCATTCTAT</t>
    <phoneticPr fontId="2" type="noConversion"/>
  </si>
  <si>
    <t>AGTAGCCTCTTTCTCAATGTGC</t>
  </si>
  <si>
    <t>GCTTTCACAAGGATGCAGTCTC</t>
  </si>
  <si>
    <t>AGAGGCTGAAGAGGAAGACCA</t>
  </si>
  <si>
    <t>GGCCCAGCTGTGCATTCTAT</t>
  </si>
  <si>
    <t>ACACTCTTTCCCTACACGACGCTCTTCCGATCTNNNNgcacccggatgtagttctg</t>
    <phoneticPr fontId="9" type="noConversion"/>
  </si>
  <si>
    <t>GCACCCGGATGTAGTTCTG</t>
  </si>
  <si>
    <t>AGCTCTGTTGTTATTTTTTGGTCA</t>
  </si>
  <si>
    <t>ACACTCTTTCCCTACACGACGCTCTTCCGATCTNNNNCCAAGAGGGCCAAGTCCTG</t>
    <phoneticPr fontId="2" type="noConversion"/>
  </si>
  <si>
    <t>CCAAGAGGGCCAAGTCCTG</t>
  </si>
  <si>
    <t>CAGCGAGGAGTGACAGCC</t>
  </si>
  <si>
    <t>ACACTCTTTCCCTACACGACGCTCTTCCGATCTNNNNgaaagggacattggaaggcac</t>
    <phoneticPr fontId="9" type="noConversion"/>
  </si>
  <si>
    <t>GTCATACCTTGGCCCTTCCT</t>
  </si>
  <si>
    <t>TCCCTAGGCCCACACCAG</t>
  </si>
  <si>
    <t>emx-Guideseq-13</t>
    <phoneticPr fontId="2" type="noConversion"/>
  </si>
  <si>
    <t>GAAAGGGACATTGGAAGGCAC</t>
  </si>
  <si>
    <t>TCCTAGCTATCTTAACACCTCCCT</t>
  </si>
  <si>
    <t>TGCCCAATCATTGATGCTTTT</t>
    <phoneticPr fontId="2" type="noConversion"/>
  </si>
  <si>
    <t>TGGAGTTCAGACGTGTGCTCTTCCGATCTNNNNNNCTAGCACTTCTCGCGGCTCC</t>
    <phoneticPr fontId="2" type="noConversion"/>
  </si>
  <si>
    <t>ACACTCTTTCCCTACACGACGCTCTTCCGATCTNNNNGGGATGTTCTTCTTGCCTTGGT</t>
    <phoneticPr fontId="2" type="noConversion"/>
  </si>
  <si>
    <t>TGGAGTTCAGACGTGTGCTCTTCCGATCTNNNNNNTTACTATTGTCTCTGGCAGCCG</t>
    <phoneticPr fontId="2" type="noConversion"/>
  </si>
  <si>
    <t>TGGAGTTCAGACGTGTGCTCTTCCGATCTNNNNNNCTCTTGAGCTCTTGGTAGATATGT</t>
    <phoneticPr fontId="2" type="noConversion"/>
  </si>
  <si>
    <t>ACACTCTTTCCCTACACGACGCTCTTCCGATCTNNNNGCCCAAGAGACATCACCACTT</t>
    <phoneticPr fontId="2" type="noConversion"/>
  </si>
  <si>
    <t>ACACTCTTTCCCTACACGACGCTCTTCCGATCTNNNNCCCACCTTTGAGGAGGCAAA</t>
    <phoneticPr fontId="2" type="noConversion"/>
  </si>
  <si>
    <t>TGGAGTTCAGACGTGTGCTCTTCCGATCTNNNNNNTTTTCCATCTGAGAAGAGAGTGGT</t>
    <phoneticPr fontId="2" type="noConversion"/>
  </si>
  <si>
    <t>ACACTCTTTCCCTACACGACGCTCTTCCGATCTNNNNGCAATGCTCTCGTCTTCCTGCA</t>
    <phoneticPr fontId="2" type="noConversion"/>
  </si>
  <si>
    <t>TGGAGTTCAGACGTGTGCTCTTCCGATCTNNNNNNAGTAAAGTCATACCTTGGCCCTTC</t>
    <phoneticPr fontId="2" type="noConversion"/>
  </si>
  <si>
    <t>TGGAGTTCAGACGTGTGCTCTTCCGATCTNNNNNNAAAGAGATGGCTAGAGGGTGACTA</t>
    <phoneticPr fontId="2" type="noConversion"/>
  </si>
  <si>
    <t>ACACTCTTTCCCTACACGACGCTCTTCCGATCTNNNNTCTTTAAGTCACTCCTGCTCCC</t>
    <phoneticPr fontId="2" type="noConversion"/>
  </si>
  <si>
    <t>TGGAGTTCAGACGTGTGCTCTTCCGATCTNNNNNNGCGTGAGTGATAAGTGGCATTTGA</t>
    <phoneticPr fontId="2" type="noConversion"/>
  </si>
  <si>
    <t>ACACTCTTTCCCTACACGACGCTCTTCCGATCTNNNNCCCACTGCTGGCCATCTGA</t>
    <phoneticPr fontId="2" type="noConversion"/>
  </si>
  <si>
    <t>ACACTCTTTCCCTACACGACGCTCTTCCGATCTNNNNATTCTGTCAAAGTCTCCCTGGC</t>
    <phoneticPr fontId="2" type="noConversion"/>
  </si>
  <si>
    <t>TGGAGTTCAGACGTGTGCTCTTCCGATCTNNNNNNTCCCTGCATTTCTTATCACACTTG</t>
    <phoneticPr fontId="2" type="noConversion"/>
  </si>
  <si>
    <t>TGGAGTTCAGACGTGTGCTCTTCCGATCTNNNNNNCGTGGTTCTGCAGTCTATATGGAA</t>
    <phoneticPr fontId="2" type="noConversion"/>
  </si>
  <si>
    <t>ACACTCTTTCCCTACACGACGCTCTTCCGATCTNNNNAAAGTGTGTGTTGTGGTAGCCT</t>
    <phoneticPr fontId="2" type="noConversion"/>
  </si>
  <si>
    <t>TGGAGTTCAGACGTGTGCTCTTCCGATCTNNNNNNAGCTCTGTTGTTATTTTTTGGTCA</t>
    <phoneticPr fontId="2" type="noConversion"/>
  </si>
  <si>
    <t>TGGAGTTCAGACGTGTGCTCTTCCGATCTNNNNNNGCTTTCACAAGGATGCAGTCTC</t>
    <phoneticPr fontId="2" type="noConversion"/>
  </si>
  <si>
    <t>TGGAGTTCAGACGTGTGCTCTTCCGATCTNNNNNNAACATTTACCATAGACTATCACCT</t>
    <phoneticPr fontId="2" type="noConversion"/>
  </si>
  <si>
    <t>TGGAGTTCAGACGTGTGCTCTTCCGATCTnnnnnnCAGCGAGGAGTGACAGCC</t>
    <phoneticPr fontId="2" type="noConversion"/>
  </si>
  <si>
    <t>TGGAGTTCAGACGTGTGCTCTTCCGATCTnnnnnntcctagctatcttaacacctccct</t>
    <phoneticPr fontId="9" type="noConversion"/>
  </si>
  <si>
    <t>no_lap</t>
    <phoneticPr fontId="2" type="noConversion"/>
  </si>
  <si>
    <t>sg_dependent</t>
    <phoneticPr fontId="2" type="noConversion"/>
  </si>
  <si>
    <t>not_in_window</t>
    <phoneticPr fontId="2" type="noConversion"/>
  </si>
  <si>
    <t>emx-Guideseq-7</t>
  </si>
  <si>
    <t>emx-ontarget-1</t>
    <phoneticPr fontId="2" type="noConversion"/>
  </si>
  <si>
    <t>E-GUIDE-Seq</t>
    <phoneticPr fontId="2" type="noConversion"/>
  </si>
  <si>
    <t>E-on-target</t>
    <phoneticPr fontId="2" type="noConversion"/>
  </si>
  <si>
    <t>ALL1&amp;2</t>
    <phoneticPr fontId="2" type="noConversion"/>
  </si>
  <si>
    <r>
      <t>E-</t>
    </r>
    <r>
      <rPr>
        <sz val="12"/>
        <rFont val="等线"/>
        <family val="4"/>
        <charset val="134"/>
      </rPr>
      <t>all1&amp;2-n</t>
    </r>
    <r>
      <rPr>
        <sz val="12"/>
        <color theme="1"/>
        <rFont val="等线"/>
        <family val="2"/>
        <charset val="134"/>
        <scheme val="minor"/>
      </rPr>
      <t>ew</t>
    </r>
    <phoneticPr fontId="2" type="noConversion"/>
  </si>
  <si>
    <r>
      <t>E-delAPO-</t>
    </r>
    <r>
      <rPr>
        <sz val="12"/>
        <rFont val="等线"/>
        <family val="4"/>
        <charset val="134"/>
      </rPr>
      <t>1&amp;2-n</t>
    </r>
    <r>
      <rPr>
        <sz val="12"/>
        <color theme="1"/>
        <rFont val="等线"/>
        <family val="2"/>
        <charset val="134"/>
        <scheme val="minor"/>
      </rPr>
      <t>ew</t>
    </r>
    <phoneticPr fontId="2" type="noConversion"/>
  </si>
  <si>
    <r>
      <t>E-delUGI-</t>
    </r>
    <r>
      <rPr>
        <sz val="12"/>
        <rFont val="等线"/>
        <family val="4"/>
        <charset val="134"/>
      </rPr>
      <t>1&amp;2-n</t>
    </r>
    <r>
      <rPr>
        <sz val="12"/>
        <color theme="1"/>
        <rFont val="等线"/>
        <family val="2"/>
        <charset val="134"/>
        <scheme val="minor"/>
      </rPr>
      <t>ew</t>
    </r>
    <phoneticPr fontId="2" type="noConversion"/>
  </si>
  <si>
    <t>delSG-1&amp;2-new</t>
    <phoneticPr fontId="2" type="noConversion"/>
  </si>
  <si>
    <t>V-all1&amp;2-new</t>
    <phoneticPr fontId="2" type="noConversion"/>
  </si>
  <si>
    <r>
      <t>V-delAPO-</t>
    </r>
    <r>
      <rPr>
        <sz val="12"/>
        <rFont val="等线"/>
        <family val="4"/>
        <charset val="134"/>
      </rPr>
      <t>1&amp;2-n</t>
    </r>
    <r>
      <rPr>
        <sz val="12"/>
        <color theme="1"/>
        <rFont val="等线"/>
        <family val="2"/>
        <charset val="134"/>
        <scheme val="minor"/>
      </rPr>
      <t>ew</t>
    </r>
    <phoneticPr fontId="2" type="noConversion"/>
  </si>
  <si>
    <r>
      <t>V-delUGI-</t>
    </r>
    <r>
      <rPr>
        <sz val="12"/>
        <rFont val="等线"/>
        <family val="4"/>
        <charset val="134"/>
      </rPr>
      <t>1&amp;2-n</t>
    </r>
    <r>
      <rPr>
        <sz val="12"/>
        <color theme="1"/>
        <rFont val="等线"/>
        <family val="2"/>
        <charset val="134"/>
        <scheme val="minor"/>
      </rPr>
      <t>ew</t>
    </r>
    <phoneticPr fontId="2" type="noConversion"/>
  </si>
  <si>
    <t>mutant</t>
    <phoneticPr fontId="2" type="noConversion"/>
  </si>
  <si>
    <t>ugi1-3</t>
    <phoneticPr fontId="2" type="noConversion"/>
  </si>
  <si>
    <t>emx-Guideseq-2</t>
    <phoneticPr fontId="2" type="noConversion"/>
  </si>
  <si>
    <t>emx-APOUGI-1</t>
    <phoneticPr fontId="2" type="noConversion"/>
  </si>
  <si>
    <t>apo1-3，5-9</t>
    <phoneticPr fontId="2" type="noConversion"/>
  </si>
  <si>
    <t>all</t>
    <phoneticPr fontId="2" type="noConversion"/>
  </si>
  <si>
    <t>vegfa(guide-seqx6)</t>
    <phoneticPr fontId="2" type="noConversion"/>
  </si>
  <si>
    <t>apo6,8,9</t>
    <phoneticPr fontId="2" type="noConversion"/>
  </si>
  <si>
    <t>emx1</t>
    <phoneticPr fontId="2" type="noConversion"/>
  </si>
  <si>
    <t>Mock1</t>
    <phoneticPr fontId="2" type="noConversion"/>
  </si>
  <si>
    <t>33a</t>
    <phoneticPr fontId="2" type="noConversion"/>
  </si>
  <si>
    <t>33a-34a</t>
    <phoneticPr fontId="2" type="noConversion"/>
  </si>
  <si>
    <t>rep_weak</t>
    <phoneticPr fontId="2" type="noConversion"/>
  </si>
  <si>
    <t>HEK-on-target</t>
    <phoneticPr fontId="2" type="noConversion"/>
  </si>
  <si>
    <t>delSG-1&amp; delUGI-1</t>
    <phoneticPr fontId="2" type="noConversion"/>
  </si>
  <si>
    <t>s-rep-weak-signal-20190913-no_overlap-EMX1-All-PD.not_in_rep1.C10_M4_R2_T3.chr15_70699161_70699281.png</t>
  </si>
  <si>
    <t>s-rep-weak-signal-20190913-no_overlap-EMX1-All-PD.not_in_rep1.C10_M4_R2_T3.chr1_225530043_225530163.png</t>
  </si>
  <si>
    <t>s-rep-weak-signal-20190913-no_overlap-EMX1-All-PD.not_in_rep1.C10_M4_R2_T3.chr1_243863435_243863555.png</t>
  </si>
  <si>
    <t>s-rep-weak-signal-20190913-no_overlap-EMX1-All-PD.not_in_rep1.C10_M4_R2_T3.chr7_136931816_136931936.png</t>
  </si>
  <si>
    <t>s-rep-weak-signal-20190913-no_overlap-EMX1-All-PD.not_in_rep1.C10_M4_R2_T3.chr8_80438817_80438937.png</t>
  </si>
  <si>
    <t>s-rep-weak-signal-20190913-no_overlap-EMX1-All-PD.not_in_rep2.C10_M4_R2_T3.chr1_100055081_100055201.png</t>
  </si>
  <si>
    <t>s-rep-weak-signal-20190913-no_overlap-EMX1-All-PD.not_in_rep2.C10_M4_R2_T3.chr2_207246522_207246642.png</t>
  </si>
  <si>
    <t>s-rep-weak-signal-20190913-no_overlap-EMX1-All-PD.not_in_rep2.C10_M4_R2_T3.chr2_24714951_24715071.png</t>
  </si>
  <si>
    <t>s-rep-weak-signal-20190913-no_overlap-EMX1-All-PD.not_in_rep2.C10_M4_R2_T3.chr3_112958449_112958569.png</t>
  </si>
  <si>
    <t>s-rep-weak-signal-20190913-no_overlap-EMX1-All-PD.not_in_rep2.C10_M4_R2_T3.chr3_43426298_43426418.png</t>
  </si>
  <si>
    <t>emx-RepWeak-1</t>
    <phoneticPr fontId="2" type="noConversion"/>
  </si>
  <si>
    <t>emx-NOLap-4_HTSfwd</t>
    <phoneticPr fontId="2" type="noConversion"/>
  </si>
  <si>
    <t>emx-RepWeak-1_HTSfwd</t>
    <phoneticPr fontId="2" type="noConversion"/>
  </si>
  <si>
    <t>emx-RepWeak-1_HTSrev</t>
    <phoneticPr fontId="2" type="noConversion"/>
  </si>
  <si>
    <t>AACAGTGAAGCGAACAGATTGA</t>
  </si>
  <si>
    <t>TTCAATAATCACATAGGGCCTACT</t>
  </si>
  <si>
    <t>CCCATGCAATTAGTCTATTTCTGC</t>
  </si>
  <si>
    <t>CAGCCAAACTTGTCAACCAGTA</t>
  </si>
  <si>
    <t>HEK3-Ontarget_HTSfwd</t>
    <phoneticPr fontId="2" type="noConversion"/>
  </si>
  <si>
    <t>HEK3-Ontarget-1_HTSrev</t>
    <phoneticPr fontId="2" type="noConversion"/>
  </si>
  <si>
    <t>vegfa-ontarget</t>
    <phoneticPr fontId="2" type="noConversion"/>
  </si>
  <si>
    <t>HEK3-ontarget</t>
    <phoneticPr fontId="2" type="noConversion"/>
  </si>
  <si>
    <t>GACCTCGAGACTGTTCCCTG</t>
  </si>
  <si>
    <t>CTAATTATAGCTCTCAGGGGCCTC</t>
  </si>
  <si>
    <t>emx-RepWeak-2_HTSfwd</t>
  </si>
  <si>
    <t>emx-RepWeak-2_HTSrev</t>
  </si>
  <si>
    <t>emx-RepWeak-2</t>
    <phoneticPr fontId="2" type="noConversion"/>
  </si>
  <si>
    <t>ACACTCTTTCCCTACACGACGCTCTTCCGATCTNNNNCTGTTTGGAAGCTTTGGGGTCT</t>
    <phoneticPr fontId="2" type="noConversion"/>
  </si>
  <si>
    <t>TGGAGTTCAGACGTGTGCTCTTCCGATCTNNNNNNATTTTAATCTCGACGCAGGACACT</t>
    <phoneticPr fontId="2" type="noConversion"/>
  </si>
  <si>
    <t>ACACTCTTTCCCTACACGACGCTCTTCCGATCTNNNNAACAGTGAAGCGAACAGATTGA</t>
    <phoneticPr fontId="2" type="noConversion"/>
  </si>
  <si>
    <t>TGGAGTTCAGACGTGTGCTCTTCCGATCTNNNNNNTTCAATAATCACATAGGGCCTACT</t>
    <phoneticPr fontId="2" type="noConversion"/>
  </si>
  <si>
    <t>TGGAGTTCAGACGTGTGCTCTTCCGATCTNNNNNNCTAATTATAGCTCTCAGGGGCCTC</t>
    <phoneticPr fontId="2" type="noConversion"/>
  </si>
  <si>
    <t>TGGAGTTCAGACGTGTGCTCTTCCGATCTNNNNNNCCCATGCAATTAGTCTATTTCTGC</t>
    <phoneticPr fontId="2" type="noConversion"/>
  </si>
  <si>
    <t>ACACTCTTTCCCTACACGACGCTCTTCCGATCTNNNNCAGCCAAACTTGTCAACCAGTA</t>
    <phoneticPr fontId="2" type="noConversion"/>
  </si>
  <si>
    <t>vegfa-ontarget</t>
    <phoneticPr fontId="2" type="noConversion"/>
  </si>
  <si>
    <t>emx-ontarget</t>
    <phoneticPr fontId="2" type="noConversion"/>
  </si>
  <si>
    <t>Primer</t>
    <phoneticPr fontId="2" type="noConversion"/>
  </si>
  <si>
    <t>APO-M1</t>
    <phoneticPr fontId="2" type="noConversion"/>
  </si>
  <si>
    <t>APO-M2</t>
  </si>
  <si>
    <t>APO-M3</t>
  </si>
  <si>
    <t>APO-M5</t>
    <phoneticPr fontId="2" type="noConversion"/>
  </si>
  <si>
    <t>APO-M7</t>
  </si>
  <si>
    <t>APO-M8</t>
  </si>
  <si>
    <t>APO-M9</t>
  </si>
  <si>
    <t>2*5*2</t>
    <phoneticPr fontId="2" type="noConversion"/>
  </si>
  <si>
    <t>UGI-1</t>
    <phoneticPr fontId="2" type="noConversion"/>
  </si>
  <si>
    <t>UGI-2</t>
  </si>
  <si>
    <t>UGI-3</t>
  </si>
  <si>
    <t>vector-1&amp;2-new</t>
    <phoneticPr fontId="2" type="noConversion"/>
  </si>
  <si>
    <t>BE4</t>
    <phoneticPr fontId="2" type="noConversion"/>
  </si>
  <si>
    <t>APO-M6</t>
    <phoneticPr fontId="2" type="noConversion"/>
  </si>
  <si>
    <t>UGI-2 + APO-M6</t>
    <phoneticPr fontId="2" type="noConversion"/>
  </si>
  <si>
    <t>UGI-2 + APO-M8</t>
    <phoneticPr fontId="2" type="noConversion"/>
  </si>
  <si>
    <t>UGI-2 + APO-M9</t>
    <phoneticPr fontId="2" type="noConversion"/>
  </si>
  <si>
    <t>UGI-3 + APO-M6</t>
    <phoneticPr fontId="2" type="noConversion"/>
  </si>
  <si>
    <t>UGI-3 + APO-M8</t>
    <phoneticPr fontId="2" type="noConversion"/>
  </si>
  <si>
    <t>UGI-3 + APO-M9</t>
    <phoneticPr fontId="2" type="noConversion"/>
  </si>
  <si>
    <t>APO-M4</t>
  </si>
  <si>
    <t>2d</t>
    <phoneticPr fontId="2" type="noConversion"/>
  </si>
  <si>
    <t>3d</t>
    <phoneticPr fontId="2" type="noConversion"/>
  </si>
  <si>
    <t>5d</t>
    <phoneticPr fontId="2" type="noConversion"/>
  </si>
  <si>
    <t>7d</t>
    <phoneticPr fontId="2" type="noConversion"/>
  </si>
  <si>
    <t>10d</t>
    <phoneticPr fontId="2" type="noConversion"/>
  </si>
  <si>
    <t>12.5d</t>
    <phoneticPr fontId="2" type="noConversion"/>
  </si>
  <si>
    <t>(9+3+6+1)*（1+4)</t>
    <phoneticPr fontId="2" type="noConversion"/>
  </si>
  <si>
    <t>E-on-target</t>
    <phoneticPr fontId="2" type="noConversion"/>
  </si>
  <si>
    <t>21+99.75</t>
    <phoneticPr fontId="2" type="noConversion"/>
  </si>
  <si>
    <t>39 sites</t>
    <phoneticPr fontId="2" type="noConversion"/>
  </si>
  <si>
    <t>emx-Guideseq-2</t>
    <phoneticPr fontId="2" type="noConversion"/>
  </si>
  <si>
    <t>emx-Guideseq-10</t>
    <phoneticPr fontId="2" type="noConversion"/>
  </si>
  <si>
    <t>emx-Guideseq-13</t>
    <phoneticPr fontId="2" type="noConversion"/>
  </si>
  <si>
    <t>emx-Guideseq-2</t>
    <phoneticPr fontId="2" type="noConversion"/>
  </si>
  <si>
    <t>emx-Guideseq-5</t>
    <phoneticPr fontId="2" type="noConversion"/>
  </si>
  <si>
    <t>emx-Guideseq-10</t>
    <phoneticPr fontId="2" type="noConversion"/>
  </si>
  <si>
    <t>emx-Guideseq-12</t>
    <phoneticPr fontId="2" type="noConversion"/>
  </si>
  <si>
    <t>emx-Guideseq-13</t>
    <phoneticPr fontId="2" type="noConversion"/>
  </si>
  <si>
    <t>6*(1+6)</t>
    <phoneticPr fontId="2" type="noConversion"/>
  </si>
  <si>
    <t>30+30+63</t>
    <phoneticPr fontId="2" type="noConversion"/>
  </si>
  <si>
    <t>1/3</t>
    <phoneticPr fontId="2" type="noConversion"/>
  </si>
  <si>
    <t>1/2</t>
    <phoneticPr fontId="2" type="noConversion"/>
  </si>
  <si>
    <t>emx-Guideseq-4</t>
    <phoneticPr fontId="2" type="noConversion"/>
  </si>
  <si>
    <t>2ntQ5mix比例</t>
    <phoneticPr fontId="2" type="noConversion"/>
  </si>
  <si>
    <t>*1</t>
    <phoneticPr fontId="2" type="noConversion"/>
  </si>
  <si>
    <t>*1.25</t>
    <phoneticPr fontId="2" type="noConversion"/>
  </si>
  <si>
    <t>*1.45</t>
    <phoneticPr fontId="2" type="noConversion"/>
  </si>
  <si>
    <t>In9-1 + In9-2</t>
    <phoneticPr fontId="2" type="noConversion"/>
  </si>
  <si>
    <t>Sample</t>
    <phoneticPr fontId="2" type="noConversion"/>
  </si>
  <si>
    <t>delSG1&amp;2-1012</t>
    <phoneticPr fontId="2" type="noConversion"/>
  </si>
  <si>
    <t>vector1&amp;2-1012</t>
    <phoneticPr fontId="2" type="noConversion"/>
  </si>
  <si>
    <t>vegfa-Guideseq-3</t>
    <phoneticPr fontId="2" type="noConversion"/>
  </si>
  <si>
    <r>
      <rPr>
        <b/>
        <sz val="12"/>
        <color rgb="FFFF0000"/>
        <rFont val="Calibri (主题正文)"/>
      </rPr>
      <t>Mutants</t>
    </r>
    <r>
      <rPr>
        <b/>
        <sz val="12"/>
        <color theme="1"/>
        <rFont val="Calibri (主题正文)"/>
      </rPr>
      <t xml:space="preserve"> + emx1</t>
    </r>
    <phoneticPr fontId="2" type="noConversion"/>
  </si>
  <si>
    <r>
      <rPr>
        <b/>
        <sz val="12"/>
        <color rgb="FFFF0000"/>
        <rFont val="等线"/>
        <family val="4"/>
        <charset val="134"/>
        <scheme val="minor"/>
      </rPr>
      <t>Time course</t>
    </r>
    <r>
      <rPr>
        <sz val="12"/>
        <color theme="1"/>
        <rFont val="等线"/>
        <family val="2"/>
        <charset val="134"/>
        <scheme val="minor"/>
      </rPr>
      <t xml:space="preserve"> + All &amp; emx1</t>
    </r>
    <phoneticPr fontId="2" type="noConversion"/>
  </si>
  <si>
    <t>3mutant-formal-EMX1-rm_VEGFA-EMX1.All.overlap.chr9_138041532.148.chr9_138041507_138041627--PAM8.png</t>
    <phoneticPr fontId="2" type="noConversion"/>
  </si>
  <si>
    <t>3-formal-EMX1-rm_VEGFA-EMX1.All.overlap.chr2_11799447.107.chr2_11799392_11799512.png</t>
    <phoneticPr fontId="2" type="noConversion"/>
  </si>
  <si>
    <t>3-formal-EMX1-rm_VEGFA-EMX1.All.overlap.chr2_71742666.110.chr2_71742625_71742745.png</t>
    <phoneticPr fontId="2" type="noConversion"/>
  </si>
  <si>
    <t>chr2</t>
    <phoneticPr fontId="2" type="noConversion"/>
  </si>
  <si>
    <t>3-formal-EMX1-rm_VEGFA-EMX1.All.overlap.chr3_145339568.115.chr3_145339520_145339640.png</t>
    <phoneticPr fontId="2" type="noConversion"/>
  </si>
  <si>
    <t>emx-notOFF-1</t>
    <phoneticPr fontId="2" type="noConversion"/>
  </si>
  <si>
    <t>emx-notOFF-2</t>
  </si>
  <si>
    <t>emx-notOFF-3</t>
  </si>
  <si>
    <t>AGAGCTTTGCTTCACATTTGGAT</t>
  </si>
  <si>
    <t>CTCTGAACCAACAATCTGGAGG</t>
  </si>
  <si>
    <t>emx-noOFF-1_HTSfwd</t>
    <phoneticPr fontId="2" type="noConversion"/>
  </si>
  <si>
    <t>emx-noOFF-1_HTSrev</t>
    <phoneticPr fontId="2" type="noConversion"/>
  </si>
  <si>
    <t>emx-noOFF-2_HTSfwd</t>
  </si>
  <si>
    <t>emx-noOFF-2_HTSrev</t>
  </si>
  <si>
    <t>emx-noOFF-3_HTSfwd</t>
  </si>
  <si>
    <t>emx-noOFF-3_HTSrev</t>
  </si>
  <si>
    <t>TAACACAGAGAGTCAGGAGTGC</t>
  </si>
  <si>
    <t>ACTGCCATATCTTCTTTGGGGA</t>
  </si>
  <si>
    <t>ATGCAGGGAGCTGTGAATAAGTT</t>
  </si>
  <si>
    <t>ACAGGCAAGATCATTGAGAGGC</t>
  </si>
  <si>
    <t>ACACTCTTTCCCTACACGACGCTCTTCCGATCTNNNNGACCTCGAGACTGTTCCCTG</t>
    <phoneticPr fontId="2" type="noConversion"/>
  </si>
  <si>
    <t>TGGAGTTCAGACGTGTGCTCTTCCGATCTNNNNNNAGAGCTTTGCTTCACATTTGGAT</t>
    <phoneticPr fontId="2" type="noConversion"/>
  </si>
  <si>
    <t>ACACTCTTTCCCTACACGACGCTCTTCCGATCTNNNNCTCTGAACCAACAATCTGGAGG</t>
    <phoneticPr fontId="2" type="noConversion"/>
  </si>
  <si>
    <t>ACACTCTTTCCCTACACGACGCTCTTCCGATCTNNNNTAACACAGAGAGTCAGGAGTGC</t>
    <phoneticPr fontId="2" type="noConversion"/>
  </si>
  <si>
    <t>TGGAGTTCAGACGTGTGCTCTTCCGATCTNNNNNNACTGCCATATCTTCTTTGGGGA</t>
    <phoneticPr fontId="2" type="noConversion"/>
  </si>
  <si>
    <t>ACACTCTTTCCCTACACGACGCTCTTCCGATCTNNNNACAGGCAAGATCATTGAGAGGC</t>
    <phoneticPr fontId="2" type="noConversion"/>
  </si>
  <si>
    <t>TGGAGTTCAGACGTGTGCTCTTCCGATCTNNNNNNATGCAGGGAGCTGTGAATAAGTT</t>
    <phoneticPr fontId="2" type="noConversion"/>
  </si>
  <si>
    <t>1101E-deletion</t>
    <phoneticPr fontId="2" type="noConversion"/>
  </si>
  <si>
    <r>
      <rPr>
        <b/>
        <sz val="12"/>
        <color rgb="FFFF0000"/>
        <rFont val="Calibri (主题正文)"/>
      </rPr>
      <t>1stMutants</t>
    </r>
    <r>
      <rPr>
        <b/>
        <sz val="12"/>
        <color theme="1"/>
        <rFont val="Calibri (主题正文)"/>
      </rPr>
      <t xml:space="preserve"> + emx1</t>
    </r>
    <phoneticPr fontId="2" type="noConversion"/>
  </si>
  <si>
    <t>M2-old</t>
    <phoneticPr fontId="2" type="noConversion"/>
  </si>
  <si>
    <r>
      <rPr>
        <b/>
        <sz val="12"/>
        <color rgb="FFFF0000"/>
        <rFont val="Calibri (主题正文)"/>
      </rPr>
      <t>2ndMutants</t>
    </r>
    <r>
      <rPr>
        <b/>
        <sz val="12"/>
        <color theme="1"/>
        <rFont val="Calibri (主题正文)"/>
      </rPr>
      <t xml:space="preserve"> + veg2</t>
    </r>
    <phoneticPr fontId="2" type="noConversion"/>
  </si>
  <si>
    <r>
      <rPr>
        <b/>
        <sz val="12"/>
        <color rgb="FFFF0000"/>
        <rFont val="Calibri (主题正文)"/>
      </rPr>
      <t>2ndMutants</t>
    </r>
    <r>
      <rPr>
        <b/>
        <sz val="12"/>
        <color theme="1"/>
        <rFont val="Calibri (主题正文)"/>
      </rPr>
      <t xml:space="preserve"> + HEK4</t>
    </r>
    <phoneticPr fontId="2" type="noConversion"/>
  </si>
  <si>
    <t>TCCCCCTTCAGTGATGCTCCTG</t>
  </si>
  <si>
    <t>TGGAGTTCAGACGTGTGCTCTTCCGATCTNNNNNNTCCCCCTTCAGTGATGCTCCTG</t>
    <phoneticPr fontId="21" type="noConversion"/>
  </si>
  <si>
    <t>HEK4-Guideseq-6_HTSrev</t>
  </si>
  <si>
    <t>TTACTCACCGGACCTCCCCAAC</t>
  </si>
  <si>
    <t>ACACTCTTTCCCTACACGACGCTCTTCCGATCTNNNNTTACTCACCGGACCTCCCCAAC</t>
    <phoneticPr fontId="21" type="noConversion"/>
  </si>
  <si>
    <t>HEK4-Guideseq-6_HTSfwd</t>
  </si>
  <si>
    <t>CCTCGGTTCCTCCACAACAC</t>
  </si>
  <si>
    <t>TGGAGTTCAGACGTGTGCTCTTCCGATCTNNNNNNCCTCGGTTCCTCCACAACAC</t>
    <phoneticPr fontId="21" type="noConversion"/>
  </si>
  <si>
    <t>HEK4-Guideseq-4_HTSrev</t>
  </si>
  <si>
    <t>TTTCCACCAGAACTCAGCCC</t>
  </si>
  <si>
    <t>ACACTCTTTCCCTACACGACGCTCTTCCGATCTNNNNTTTCCACCAGAACTCAGCCC</t>
    <phoneticPr fontId="21" type="noConversion"/>
  </si>
  <si>
    <t>HEK4-Guideseq-4_HTSfwd</t>
  </si>
  <si>
    <t>CTCTGTGGCCTCCATATCCCTGCA</t>
  </si>
  <si>
    <t>TGGAGTTCAGACGTGTGCTCTTCCGATCTNNNNNNCTCTGTGGCCTCCATATCCCTGCA</t>
    <phoneticPr fontId="21" type="noConversion"/>
  </si>
  <si>
    <t>HEK4-Guideseq-3_HTSrev</t>
    <phoneticPr fontId="21" type="noConversion"/>
  </si>
  <si>
    <t>GGTCTGAGGCTCGAATCCTGGC</t>
  </si>
  <si>
    <t>ACACTCTTTCCCTACACGACGCTCTTCCGATCTNNNNGGTCTGAGGCTCGAATCCTGGC</t>
    <phoneticPr fontId="21" type="noConversion"/>
  </si>
  <si>
    <t>HEK4-Guideseq-3_HTSfwd</t>
    <phoneticPr fontId="21" type="noConversion"/>
  </si>
  <si>
    <t>HEK4-Guideseq-6</t>
    <phoneticPr fontId="21" type="noConversion"/>
  </si>
  <si>
    <t>GGCGCTGCGGCGGGAGGTGGAGG</t>
  </si>
  <si>
    <t>chr15</t>
    <phoneticPr fontId="21" type="noConversion"/>
  </si>
  <si>
    <t>HEK4-off-target-06</t>
    <phoneticPr fontId="21" type="noConversion"/>
  </si>
  <si>
    <t>CTTCCTCCTCGGAGTCCTCAAG</t>
  </si>
  <si>
    <t>TGGAGTTCAGACGTGTGCTCTTCCGATCTNNNNNNCTTCCTCCTCGGAGTCCTCAAG</t>
    <phoneticPr fontId="21" type="noConversion"/>
  </si>
  <si>
    <t>HEK4-Guideseq-1_HTSrev</t>
    <phoneticPr fontId="21" type="noConversion"/>
  </si>
  <si>
    <t>HEK4-Guideseq-4</t>
  </si>
  <si>
    <t>GGCATCACGGCTGGAGGTGGAGG</t>
  </si>
  <si>
    <t>HEK4-off-target-04</t>
  </si>
  <si>
    <t>TCATAGCTGGGGCTGAAGATCC</t>
  </si>
  <si>
    <t>ACACTCTTTCCCTACACGACGCTCTTCCGATCTNNNNTCATAGCTGGGGCTGAAGATCC</t>
    <phoneticPr fontId="21" type="noConversion"/>
  </si>
  <si>
    <t>HEK4-Guideseq-1_HTSfwd</t>
    <phoneticPr fontId="21" type="noConversion"/>
  </si>
  <si>
    <t>HEK4-Guideseq-3</t>
  </si>
  <si>
    <t>GGCACGACGGCTGGAGGTGGGGG</t>
  </si>
  <si>
    <t>HEK4-off-target-03</t>
  </si>
  <si>
    <t>CTTTCAACCCGAACGGAGACAC</t>
  </si>
  <si>
    <t>ACACTCTTTCCCTACACGACGCTCTTCCGATCTNNNNCTTTCAACCCGAACGGAGACAC</t>
    <phoneticPr fontId="21" type="noConversion"/>
  </si>
  <si>
    <t>HEK4-ontarget_HTSrev</t>
    <phoneticPr fontId="21" type="noConversion"/>
  </si>
  <si>
    <t>HEK4-Guideseq-1</t>
    <phoneticPr fontId="21" type="noConversion"/>
  </si>
  <si>
    <t>TGCACTGCGGCCGGAGGAGGTGG</t>
  </si>
  <si>
    <t>chr20</t>
  </si>
  <si>
    <t>HEK4-off-target-01</t>
    <phoneticPr fontId="21" type="noConversion"/>
  </si>
  <si>
    <t>CCCTTCAAGATGGCTGACAAAGG</t>
  </si>
  <si>
    <t>TGGAGTTCAGACGTGTGCTCTTCCGATCTNNNNNNCCCTTCAAGATGGCTGACAAAGG</t>
    <phoneticPr fontId="21" type="noConversion"/>
  </si>
  <si>
    <t>HEK4-ontarget_HTSfwd</t>
    <phoneticPr fontId="21" type="noConversion"/>
  </si>
  <si>
    <t>HEK4-ontarget</t>
    <phoneticPr fontId="21" type="noConversion"/>
  </si>
  <si>
    <t>GGCACTGCGGCTGGAGGTGGNGG</t>
  </si>
  <si>
    <t>right_primer</t>
    <phoneticPr fontId="21" type="noConversion"/>
  </si>
  <si>
    <t>left_primer</t>
    <phoneticPr fontId="21" type="noConversion"/>
  </si>
  <si>
    <t>right_barcode_length</t>
    <phoneticPr fontId="21" type="noConversion"/>
  </si>
  <si>
    <t>left_barcode_length</t>
    <phoneticPr fontId="21" type="noConversion"/>
  </si>
  <si>
    <t>region_index</t>
    <phoneticPr fontId="21" type="noConversion"/>
  </si>
  <si>
    <t>protospacer</t>
    <phoneticPr fontId="21" type="noConversion"/>
  </si>
  <si>
    <t>chr_end</t>
    <phoneticPr fontId="21" type="noConversion"/>
  </si>
  <si>
    <t>chr_start</t>
    <phoneticPr fontId="21" type="noConversion"/>
  </si>
  <si>
    <t>chr_name</t>
    <phoneticPr fontId="21" type="noConversion"/>
  </si>
  <si>
    <t>Name2</t>
    <phoneticPr fontId="21" type="noConversion"/>
  </si>
  <si>
    <t>BE4</t>
  </si>
  <si>
    <t>BE4</t>
    <phoneticPr fontId="2" type="noConversion"/>
  </si>
  <si>
    <t>*1G</t>
    <phoneticPr fontId="2" type="noConversion"/>
  </si>
  <si>
    <t>*1.5G</t>
    <phoneticPr fontId="2" type="noConversion"/>
  </si>
  <si>
    <r>
      <rPr>
        <b/>
        <sz val="12"/>
        <color rgb="FFFF0000"/>
        <rFont val="Calibri (主题正文)"/>
      </rPr>
      <t>ABE-FACS_20%</t>
    </r>
    <r>
      <rPr>
        <b/>
        <sz val="12"/>
        <color theme="1"/>
        <rFont val="Calibri (主题正文)"/>
      </rPr>
      <t xml:space="preserve"> + HEK4</t>
    </r>
    <phoneticPr fontId="2" type="noConversion"/>
  </si>
  <si>
    <t>ABE_HK4</t>
    <phoneticPr fontId="2" type="noConversion"/>
  </si>
  <si>
    <t>HEK3-on-target</t>
    <phoneticPr fontId="2" type="noConversion"/>
  </si>
  <si>
    <t>10*6</t>
    <phoneticPr fontId="2" type="noConversion"/>
  </si>
  <si>
    <t>2*2</t>
    <phoneticPr fontId="2" type="noConversion"/>
  </si>
  <si>
    <t>1*4</t>
    <phoneticPr fontId="2" type="noConversion"/>
  </si>
  <si>
    <t>*1.5G</t>
    <phoneticPr fontId="2" type="noConversion"/>
  </si>
  <si>
    <t>10*2</t>
    <phoneticPr fontId="2" type="noConversion"/>
  </si>
  <si>
    <t>emx-notOFF-2</t>
    <phoneticPr fontId="2" type="noConversion"/>
  </si>
  <si>
    <t>EMX1 off-target site 1 fwd</t>
  </si>
  <si>
    <t>EMX1 off-target site 1 rev</t>
    <phoneticPr fontId="2" type="noConversion"/>
  </si>
  <si>
    <t>ACACTCTTTCCCTACACGACGCTCTTCCGATCTNNNNGTGGGGAGATTTGCATCTGTGGAGG</t>
    <phoneticPr fontId="2" type="noConversion"/>
  </si>
  <si>
    <t>TGGAGTTCAGACGTGTGCTCTTCCGATCTGCTTTTATACCATCTTGGGGTTACAG</t>
    <phoneticPr fontId="2" type="noConversion"/>
  </si>
  <si>
    <t>EMX1 off-target site 2 fwd</t>
  </si>
  <si>
    <t>EMX1 off-target site 2 rev</t>
  </si>
  <si>
    <t>GTGGGGAGATTTGCATCTGTGGAGG</t>
  </si>
  <si>
    <t>GCTTTTATACCATCTTGGGGTTACAG</t>
  </si>
  <si>
    <t>ACACTCTTTCCCTACACGACGCTCTTCCGATCTNNNNCAATGTGCTTCAACCCATCACGGC</t>
    <phoneticPr fontId="2" type="noConversion"/>
  </si>
  <si>
    <t>TGGAGTTCAGACGTGTGCTCTTCCGATCTCCATGAATTTGTGATGGATGCAGTCTG</t>
    <phoneticPr fontId="2" type="noConversion"/>
  </si>
  <si>
    <t>CAATGTGCTTCAACCCATCACGGC</t>
  </si>
  <si>
    <t>CCATGAATTTGTGATGGATGCAGTCTG</t>
  </si>
  <si>
    <t>PE-liu</t>
    <phoneticPr fontId="2" type="noConversion"/>
  </si>
  <si>
    <t>EMX1 off-target site 4 fwd</t>
  </si>
  <si>
    <t>EMX1 off-target site 4 rev</t>
  </si>
  <si>
    <t>ACACTCTTTCCCTACACGACGCTCTTCCGATCTNNNNGTAGTTCTGACATTCCTCCTGAGGG</t>
    <phoneticPr fontId="2" type="noConversion"/>
  </si>
  <si>
    <t>TGGAGTTCAGACGTGTGCTCTTCCGATCTTCAAACAAGGTGCAGATACAGCA</t>
    <phoneticPr fontId="2" type="noConversion"/>
  </si>
  <si>
    <t>GTAGTTCTGACATTCCTCCTGAGGG</t>
  </si>
  <si>
    <t>TCAAACAAGGTGCAGATACAGCA</t>
  </si>
  <si>
    <t>GCAAGCTTTTCCTGACGCC</t>
  </si>
  <si>
    <t>AAAACTCAAAGAAATGCCCAATCA</t>
  </si>
  <si>
    <r>
      <t>E-</t>
    </r>
    <r>
      <rPr>
        <sz val="12"/>
        <color indexed="205"/>
        <rFont val="等线"/>
        <family val="4"/>
        <charset val="134"/>
      </rPr>
      <t>all1</t>
    </r>
    <r>
      <rPr>
        <sz val="12"/>
        <rFont val="等线"/>
        <family val="4"/>
        <charset val="134"/>
      </rPr>
      <t>&amp;2</t>
    </r>
    <phoneticPr fontId="2" type="noConversion"/>
  </si>
  <si>
    <r>
      <t>E-delUGI</t>
    </r>
    <r>
      <rPr>
        <sz val="12"/>
        <rFont val="等线"/>
        <family val="4"/>
        <charset val="134"/>
      </rPr>
      <t>1&amp;2</t>
    </r>
    <phoneticPr fontId="2" type="noConversion"/>
  </si>
  <si>
    <r>
      <t>E-delAPO</t>
    </r>
    <r>
      <rPr>
        <sz val="12"/>
        <rFont val="等线"/>
        <family val="4"/>
        <charset val="134"/>
      </rPr>
      <t>1&amp;2</t>
    </r>
    <phoneticPr fontId="2" type="noConversion"/>
  </si>
  <si>
    <t>delSG1&amp;2</t>
    <phoneticPr fontId="2" type="noConversion"/>
  </si>
  <si>
    <t>vector1&amp;2</t>
    <phoneticPr fontId="2" type="noConversion"/>
  </si>
  <si>
    <t>Veg2-on-target</t>
    <phoneticPr fontId="2" type="noConversion"/>
  </si>
  <si>
    <t>emx1-ontarget</t>
    <phoneticPr fontId="2" type="noConversion"/>
  </si>
  <si>
    <r>
      <rPr>
        <b/>
        <sz val="12"/>
        <color rgb="FFFF0000"/>
        <rFont val="等线"/>
        <family val="4"/>
        <charset val="134"/>
        <scheme val="minor"/>
      </rPr>
      <t>Time course_after_FACS</t>
    </r>
    <r>
      <rPr>
        <sz val="12"/>
        <color theme="1"/>
        <rFont val="等线"/>
        <family val="2"/>
        <charset val="134"/>
        <scheme val="minor"/>
      </rPr>
      <t xml:space="preserve"> + All &amp; emx1</t>
    </r>
    <phoneticPr fontId="2" type="noConversion"/>
  </si>
  <si>
    <t>13d</t>
    <phoneticPr fontId="2" type="noConversion"/>
  </si>
  <si>
    <t>*1.5</t>
    <phoneticPr fontId="2" type="noConversion"/>
  </si>
  <si>
    <t>0.6</t>
    <phoneticPr fontId="2" type="noConversion"/>
  </si>
  <si>
    <t>6*7</t>
    <phoneticPr fontId="2" type="noConversion"/>
  </si>
  <si>
    <t>HEK3-on-target</t>
    <phoneticPr fontId="2" type="noConversion"/>
  </si>
  <si>
    <t>HEK4-all1&amp;2</t>
    <phoneticPr fontId="2" type="noConversion"/>
  </si>
  <si>
    <t>NT-all1&amp;2</t>
    <phoneticPr fontId="2" type="noConversion"/>
  </si>
  <si>
    <t>7 bp seed-region</t>
    <phoneticPr fontId="2" type="noConversion"/>
  </si>
  <si>
    <t>13 bp seed-region</t>
    <phoneticPr fontId="2" type="noConversion"/>
  </si>
  <si>
    <t>emx-notOFF-3</t>
    <phoneticPr fontId="2" type="noConversion"/>
  </si>
  <si>
    <t>None</t>
    <phoneticPr fontId="2" type="noConversion"/>
  </si>
  <si>
    <t>VEGFA-GUIDESeq-02</t>
    <phoneticPr fontId="2" type="noConversion"/>
  </si>
  <si>
    <t>VEGFA-GUIDESeq-18</t>
    <phoneticPr fontId="2" type="noConversion"/>
  </si>
  <si>
    <t>VEGFA-GUIDESeq-06</t>
    <phoneticPr fontId="2" type="noConversion"/>
  </si>
  <si>
    <t>VEGFA-GUIDESeq-01</t>
    <phoneticPr fontId="2" type="noConversion"/>
  </si>
  <si>
    <t>VEGFA-GUIDESeq-09</t>
    <phoneticPr fontId="2" type="noConversion"/>
  </si>
  <si>
    <t>8*5</t>
    <phoneticPr fontId="2" type="noConversion"/>
  </si>
  <si>
    <t>chr_name</t>
  </si>
  <si>
    <t>region_start</t>
  </si>
  <si>
    <t>region_end</t>
  </si>
  <si>
    <t>score</t>
  </si>
  <si>
    <t>CasOFFinder_ann</t>
  </si>
  <si>
    <t>GUIDESeq_ann</t>
  </si>
  <si>
    <t>GUIDESeq_index</t>
  </si>
  <si>
    <t>region_site_num</t>
  </si>
  <si>
    <t>region_mut_site_num</t>
  </si>
  <si>
    <t>region_SNP_mut_num</t>
  </si>
  <si>
    <t>region_site_index</t>
  </si>
  <si>
    <t>mut_base_num</t>
  </si>
  <si>
    <t>cover_base_num</t>
  </si>
  <si>
    <t>mut_ratio</t>
  </si>
  <si>
    <t>Yes</t>
  </si>
  <si>
    <t>No</t>
  </si>
  <si>
    <t>None</t>
  </si>
  <si>
    <t>chr15_91099875_GA,chr15_91099881_GA,chr15_91099882_GA,chr15_91099884_GA,chr15_91099885_GA,chr15_91099886_GA,chr15_91099887_GA,chr15_91099889_GA,chr15_91099890_GA,chr15_91099892_GA,chr15_91099896_GA,chr15_91099898_GA,chr15_91099900_GA</t>
  </si>
  <si>
    <t>10,32,44,171,189,187,189,435,438,431,2,18,5</t>
  </si>
  <si>
    <t>0.02151,0.06867,0.09735,0.38514,0.43052,0.425,0.44471,0.97315,0.9755,0.96637,0.0043,0.03896,0.01073</t>
  </si>
  <si>
    <t>chr15_68819911_GA,chr15_68819912_GA,chr15_68819913_GA,chr15_68819915_GA,chr15_68819916_GA</t>
  </si>
  <si>
    <t>4,3,5,4,4</t>
  </si>
  <si>
    <t>22,21,23,21,20</t>
  </si>
  <si>
    <t>0.18182,0.14286,0.21739,0.19048,0.2</t>
  </si>
  <si>
    <t>chr11_73747447_CT,chr11_73747448_CT,chr11_73747449_CT,chr11_73747450_CT,chr11_73747452_CA,chr11_73747453_CT</t>
  </si>
  <si>
    <t>33,21,7,10,0,5</t>
  </si>
  <si>
    <t>0.25385,0.16154,0.05303,0.07194,0.0,0.02632</t>
  </si>
  <si>
    <t>chr11_66371419_CT,chr11_66371420_CT,chr11_66371421_CT,chr11_66371422_CT,chr11_66371426_CT,chr11_66371428_CT,chr11_66371429_CT,chr11_66371430_CT,chr11_66371431_CT</t>
  </si>
  <si>
    <t>6,17,18,18,18,6,7,6,6</t>
  </si>
  <si>
    <t>27,29,27,28,28,27,26,25,27</t>
  </si>
  <si>
    <t>0.22222,0.58621,0.66667,0.64286,0.64286,0.22222,0.26923,0.24,0.22222</t>
  </si>
  <si>
    <t>chr3_148697798_GA,chr3_148697799_GA,chr3_148697800_GA,chr3_148697801_GA,chr3_148697803_GA,chr3_148697804_GA,chr3_148697805_GA,chr3_148697806_GA,chr3_148697808_GA,chr3_148697809_GA,chr3_148697811_GA,chr3_148697812_GA,chr3_148697814_GA,chr3_148697815_GA,chr3_148697817_GA,chr3_148697818_GA,chr3_148697819_GA</t>
  </si>
  <si>
    <t>4,1,4,6,12,11,22,15,67,66,65,65,30,30,9,10,9</t>
  </si>
  <si>
    <t>82,84,82,83,79,75,75,71,72,73,73,71,73,72,75,77,72</t>
  </si>
  <si>
    <t>0.04878,0.0119,0.04878,0.07229,0.1519,0.14667,0.29333,0.21127,0.93056,0.90411,0.89041,0.91549,0.41096,0.41667,0.12,0.12987,0.125</t>
  </si>
  <si>
    <t>chr17_30648199_CT,chr17_30648200_CT,chr17_30648208_CT,chr17_30648209_CT,chr17_30648210_CT,chr17_30648211_CT,chr17_30648212_CT,chr17_30648214_CT,chr17_30648215_CT,chr17_30648217_CT,chr17_30648218_CT,chr17_30648219_CT,chr17_30648220_CT,chr17_30648222_CT,chr17_30648224_CT,chr17_30648225_CT,chr17_30648232_CT</t>
  </si>
  <si>
    <t>5,5,16,63,206,271,290,289,223,129,101,56,50,25,15,21,6</t>
  </si>
  <si>
    <t>0.01502,0.01471,0.04938,0.19385,0.64174,0.8522,0.90909,0.91456,0.6904,0.41346,0.31962,0.1761,0.15576,0.07692,0.04532,0.06306,0.01813</t>
  </si>
  <si>
    <t>VEGFA-off-target-138.4</t>
  </si>
  <si>
    <t>chr6_110199810_CT,chr6_110199812_CT,chr6_110199813_CT,chr6_110199817_CT,chr6_110199818_CT,chr6_110199819_CT,chr6_110199820_CT,chr6_110199821_CT,chr6_110199823_CT,chr6_110199824_CT,chr6_110199826_CT,chr6_110199827_CT,chr6_110199828_CT,chr6_110199829_CT,chr6_110199831_CT</t>
  </si>
  <si>
    <t>4,5,4,4,33,71,110,123,144,99,48,41,47,41,24</t>
  </si>
  <si>
    <t>0.025,0.03106,0.02484,0.02581,0.21569,0.45806,0.70968,0.80921,0.93506,0.65132,0.31788,0.26974,0.30323,0.26452,0.15789</t>
  </si>
  <si>
    <t>VEGFA-off-target-116.10</t>
  </si>
  <si>
    <t>chr7_131106788_CT,chr7_131106796_CT,chr7_131106802_C.,chr7_131106803_CT,chr7_131106804_CT,chr7_131106805_CT,chr7_131106807_CT,chr7_131106808_CT,chr7_131106809_CT,chr7_131106811_CT,chr7_131106812_CT,chr7_131106813_CT,chr7_131106814_CT,chr7_131106816_CT,chr7_131106817_CT,chr7_131106820_CT</t>
  </si>
  <si>
    <t>4,5,0,27,66,76,70,66,60,39,42,30,29,7,4,5</t>
  </si>
  <si>
    <t>86,92,87,85,82,84,83,83,82,83,83,85,86,83,87,87</t>
  </si>
  <si>
    <t>0.04651,0.05435,0.0,0.31765,0.80488,0.90476,0.84337,0.79518,0.73171,0.46988,0.50602,0.35294,0.33721,0.08434,0.04598,0.05747</t>
  </si>
  <si>
    <t>chr18</t>
  </si>
  <si>
    <t>VEGFA-off-target-93.18</t>
  </si>
  <si>
    <t>chr18_57434102_CT,chr18_57434106_CT,chr18_57434109_CT,chr18_57434112_CT,chr18_57434115_CT,chr18_57434116_CT,chr18_57434117_CT,chr18_57434118_CT,chr18_57434120_CT,chr18_57434121_CT,chr18_57434123_CT,chr18_57434124_CT,chr18_57434125_CT,chr18_57434126_CT</t>
  </si>
  <si>
    <t>4,8,8,5,7,13,22,31,36,30,12,8,8,11</t>
  </si>
  <si>
    <t>44,44,44,44,43,43,44,44,44,44,42,40,40,40</t>
  </si>
  <si>
    <t>0.09091,0.18182,0.18182,0.11364,0.16279,0.30233,0.5,0.70455,0.81818,0.68182,0.28571,0.2,0.2,0.275</t>
  </si>
  <si>
    <t>VEGFA-off-target-108.13</t>
  </si>
  <si>
    <t>chr1_23435743_GA,chr1_23435745_GA,chr1_23435748_GA,chr1_23435751_GA,chr1_23435755_GA,chr1_23435757_GA,chr1_23435758_GA,chr1_23435760_GA,chr1_23435761_GA,chr1_23435762_GA,chr1_23435763_GA,chr1_23435765_GA,chr1_23435766_GA,chr1_23435768_GA,chr1_23435769_GA,chr1_23435770_GA,chr1_23435771_GA,chr1_23435773_GA</t>
  </si>
  <si>
    <t>4,4,6,11,14,11,21,44,31,38,47,134,156,146,144,146,149,14</t>
  </si>
  <si>
    <t>0.02186,0.02186,0.03191,0.05882,0.07527,0.05946,0.11538,0.25,0.18343,0.22892,0.28313,0.7929,0.92308,0.86905,0.87273,0.86391,0.88166,0.07692</t>
  </si>
  <si>
    <t>VEGFA-off-target-78.29</t>
  </si>
  <si>
    <t>chr17_64089691_GA,chr17_64089693_GA,chr17_64089696_GA,chr17_64089697_GA,chr17_64089698_GA,chr17_64089699_GA,chr17_64089701_GA,chr17_64089702_GA,chr17_64089704_GA,chr17_64089705_GA,chr17_64089706_GA,chr17_64089707_GA,chr17_64089709_GA,chr17_64089713_GA,chr17_64089719_GA,chr17_64089723_GA,chr17_64089724_GA,chr17_64089726_GA,chr17_64089727_GA,chr17_64089728_GA</t>
  </si>
  <si>
    <t>7,5,115,126,139,165,421,511,515,516,513,513,148,326,139,14,34,14,13,29</t>
  </si>
  <si>
    <t>0.01211,0.00871,0.20758,0.23035,0.26177,0.3125,0.77532,0.9359,0.9415,0.94333,0.93784,0.94301,0.26148,0.55161,0.23519,0.02381,0.05802,0.02401,0.02241,0.05026</t>
  </si>
  <si>
    <t>Rank_in_detect_seq</t>
    <phoneticPr fontId="2" type="noConversion"/>
  </si>
  <si>
    <t>VEGFA-off-target-105.14</t>
  </si>
  <si>
    <t>chr11_133907525_CT,chr11_133907542_CT,chr11_133907547_CT,chr11_133907549_CT,chr11_133907550_CT,chr11_133907551_CT,chr11_133907552_CT,chr11_133907554_CT,chr11_133907555_CT,chr11_133907557_CT,chr11_133907558_CT,chr11_133907559_CT,chr11_133907560_CT,chr11_133907562_CT,chr11_133907563_CT,chr11_133907564_CT</t>
  </si>
  <si>
    <t>5,3,216,410,408,415,417,434,425,143,127,116,105,35,12,10</t>
  </si>
  <si>
    <t>0.01033,0.00588,0.45474,0.88937,0.88503,0.89633,0.89677,0.93737,0.91595,0.3136,0.27371,0.24733,0.22388,0.07014,0.02414,0.02004</t>
  </si>
  <si>
    <t>VEGFA-on-target.540</t>
  </si>
  <si>
    <t>chr6_43770821_GA,chr6_43770822_GA,chr6_43770824_GA,chr6_43770825_GA,chr6_43770827_GA,chr6_43770828_GA,chr6_43770829_GA,chr6_43770830_GA,chr6_43770832_GA,chr6_43770833_GA,chr6_43770835_GA,chr6_43770836_GA,chr6_43770837_GA,chr6_43770838_GA,chr6_43770839_GA</t>
  </si>
  <si>
    <t>6,10,3,15,59,65,98,105,265,301,301,303,301,200,62</t>
  </si>
  <si>
    <t>0.01875,0.03145,0.0094,0.04717,0.18971,0.21036,0.31613,0.34653,0.87171,0.98366,0.99013,0.99671,0.99013,0.65789,0.20328</t>
  </si>
  <si>
    <t>VEGFA-off-target-12.704</t>
  </si>
  <si>
    <t>chr22_50446357_CT,chr22_50446358_CT,chr22_50446359_CT,chr22_50446360_CT,chr22_50446361_CT,chr22_50446362_CT,chr22_50446363_CT,chr22_50446364_CT,chr22_50446365_CT,chr22_50446366_CT,chr22_50446367_CT,chr22_50446368_CT,chr22_50446369_CT,chr22_50446370_CT,chr22_50446371_CT,chr22_50446373_CT,chr22_50446374_CT</t>
  </si>
  <si>
    <t>20,14,11,22,52,76,80,81,81,77,68,53,34,20,13,13,10</t>
  </si>
  <si>
    <t>119,114,112,105,98,86,82,83,81,81,81,79,77,91,105,456,459</t>
  </si>
  <si>
    <t>0.16807,0.12281,0.09821,0.20952,0.53061,0.88372,0.97561,0.9759,1.0,0.95062,0.83951,0.67089,0.44156,0.21978,0.12381,0.02851,0.02179</t>
  </si>
  <si>
    <t>VEGFA-off-target-16.1054</t>
  </si>
  <si>
    <t>chr4_38535984_CT,chr4_38535985_CT,chr4_38535987_CT,chr4_38535988_CT,chr4_38535989_CT,chr4_38535990_CT,chr4_38535992_CT,chr4_38535993_CT,chr4_38535994_CT,chr4_38535995_CT,chr4_38535997_CT,chr4_38535998_CT,chr4_38535999_CT,chr4_38536001_CT,chr4_38536002_CT,chr4_38536003_CT,chr4_38536004_CT,chr4_38536006_CT,chr4_38536007_CT</t>
  </si>
  <si>
    <t>14,10,18,14,12,14,81,82,82,82,75,77,65,33,22,23,10,14,4</t>
  </si>
  <si>
    <t>91,91,90,91,90,91,89,89,89,89,89,88,88,89,88,87,89,93,92</t>
  </si>
  <si>
    <t>0.15385,0.10989,0.2,0.15385,0.13333,0.15385,0.91011,0.92135,0.92135,0.92135,0.8427,0.875,0.73864,0.37079,0.25,0.26437,0.11236,0.15054,0.04348</t>
  </si>
  <si>
    <t>VEGFA-off-target-30.256</t>
  </si>
  <si>
    <t>chr3_31417166_GA,chr3_31417168_GA,chr3_31417169_GA,chr3_31417170_GA,chr3_31417171_GA,chr3_31417173_GA,chr3_31417175_GA,chr3_31417176_GA,chr3_31417177_GA,chr3_31417178_GA,chr3_31417179_GA</t>
  </si>
  <si>
    <t>6,5,8,9,6,10,23,23,23,22,23</t>
  </si>
  <si>
    <t>28,30,30,30,28,29,30,29,29,30,31</t>
  </si>
  <si>
    <t>0.21429,0.16667,0.26667,0.3,0.21429,0.34483,0.76667,0.7931,0.7931,0.73333,0.74194</t>
  </si>
  <si>
    <t>VEGFA-off-target-13.627</t>
  </si>
  <si>
    <t>chr11_76784742_GA,chr11_76784744_GA,chr11_76784745_GA,chr11_76784747_G.,chr11_76784748_GA,chr11_76784749_GA,chr11_76784750_GA,chr11_76784751_GA,chr11_76784752_GA,chr11_76784753_GA,chr11_76784754_GA,chr11_76784755_GA,chr11_76784756_GA,chr11_76784757_GA,chr11_76784758_GA</t>
  </si>
  <si>
    <t>5,2,7,0,2,5,9,9,11,13,13,13,14,14,10</t>
  </si>
  <si>
    <t>70,66,70,18,17,16,16,17,17,17,16,16,17,17,17</t>
  </si>
  <si>
    <t>0.07143,0.0303,0.1,0.0,0.11765,0.3125,0.5625,0.52941,0.64706,0.76471,0.8125,0.8125,0.82353,0.82353,0.58824</t>
  </si>
  <si>
    <t>VEGFA-off-target-144.3</t>
  </si>
  <si>
    <t>chr5_123230118_CT,chr5_123230119_CT,chr5_123230120_CT,chr5_123230121_CT,chr5_123230122_CT,chr5_123230125_CT,chr5_123230127_CT,chr5_123230128_CT,chr5_123230129_CT,chr5_123230130_CT,chr5_123230132_CT</t>
  </si>
  <si>
    <t>9,7,6,8,11,5,3,8,1,2,5</t>
  </si>
  <si>
    <t>24,24,24,23,22,25,25,23,24,24,22</t>
  </si>
  <si>
    <t>0.375,0.29167,0.25,0.34783,0.5,0.2,0.12,0.34783,0.04167,0.08333,0.22727</t>
  </si>
  <si>
    <t>VEGFA-off-target-110.13</t>
  </si>
  <si>
    <t>chr2_43381380_CT,chr2_43381385_CT,chr2_43381387_CT,chr2_43381388_CT,chr2_43381389_CT,chr2_43381390_CT,chr2_43381391_CT,chr2_43381392_CT</t>
  </si>
  <si>
    <t>4,2,4,4,4,4,4,4</t>
  </si>
  <si>
    <t>17,18,17,16,18,17,18,18</t>
  </si>
  <si>
    <t>0.23529,0.11111,0.23529,0.25,0.22222,0.23529,0.22222,0.22222</t>
  </si>
  <si>
    <t>chr21</t>
  </si>
  <si>
    <t>chr21_46154203_CT,chr21_46154204_CT,chr21_46154205_CT,chr21_46154206_CT,chr21_46154207_CT,chr21_46154209_CT,chr21_46154210_CT,chr21_46154212_CT,chr21_46154213_CT,chr21_46154215_CT,chr21_46154217_CT,chr21_46154219_CT,chr21_46154221_CT,chr21_46154222_CT</t>
  </si>
  <si>
    <t>7,87,173,176,177,182,177,75,68,54,20,4,2,4</t>
  </si>
  <si>
    <t>0.03608,0.45078,0.90104,0.91667,0.91237,0.93814,0.9267,0.40323,0.35602,0.27979,0.1,0.0197,0.0099,0.0197</t>
  </si>
  <si>
    <t>Seed_region_match</t>
    <phoneticPr fontId="2" type="noConversion"/>
  </si>
  <si>
    <t>CCNGAGGCGGGGTGGAGGGGGTC</t>
  </si>
  <si>
    <t>NGG</t>
    <phoneticPr fontId="2" type="noConversion"/>
  </si>
  <si>
    <t>chr9_136141064_CT,chr9_136141069_CT,chr9_136141070_CT,chr9_136141071_CT,chr9_136141073_CT,chr9_136141074_CT,chr9_136141075_CT,chr9_136141076_CT,chr9_136141077_CT,chr9_136141079_CT,chr9_136141080_CT,chr9_136141081_CT</t>
  </si>
  <si>
    <t>16,32,32,30,79,125,151,158,147,154,133,95</t>
  </si>
  <si>
    <t>0.07583,0.15534,0.1561,0.14563,0.42703,0.67568,0.82514,0.8587,0.80328,0.84615,0.73889,0.52198</t>
  </si>
  <si>
    <t>NGC</t>
    <phoneticPr fontId="2" type="noConversion"/>
  </si>
  <si>
    <t>chr1_36323333_GA,chr1_36323334_GA,chr1_36323335_GA,chr1_36323336_GA,chr1_36323338_GA,chr1_36323339_GA,chr1_36323340_GA,chr1_36323343_GA,chr1_36323344_GA,chr1_36323346_GA,chr1_36323347_GA,chr1_36323351_GA,chr1_36323352_GA,chr1_36323353_GA,chr1_36323356_G.,chr1_36323359_GA</t>
  </si>
  <si>
    <t>8,20,13,20,70,71,109,113,115,110,112,15,11,20,0,6</t>
  </si>
  <si>
    <t>0.06061,0.15152,0.09924,0.15504,0.54688,0.55906,0.87903,0.904,0.92,0.8871,0.90323,0.11538,0.08333,0.15267,0.0,0.04478</t>
  </si>
  <si>
    <t>OUT</t>
    <phoneticPr fontId="2" type="noConversion"/>
  </si>
  <si>
    <t>Window</t>
    <phoneticPr fontId="2" type="noConversion"/>
  </si>
  <si>
    <t>IN</t>
    <phoneticPr fontId="2" type="noConversion"/>
  </si>
  <si>
    <t>NGA</t>
    <phoneticPr fontId="2" type="noConversion"/>
  </si>
  <si>
    <t>chr3_22466320_CT,chr3_22466323_CT,chr3_22466324_CT,chr3_22466325_CT,chr3_22466327_CT,chr3_22466328_CT,chr3_22466330_CT,chr3_22466331_CT,chr3_22466332_CT,chr3_22466333_CT,chr3_22466335_CT,chr3_22466337_CT</t>
  </si>
  <si>
    <t>95,124,121,123,121,123,53,43,40,32,6,4</t>
  </si>
  <si>
    <t>0.65517,0.86713,0.84615,0.85417,0.84615,0.86014,0.37857,0.30282,0.28369,0.22535,0.04167,0.02721</t>
  </si>
  <si>
    <t>NAC</t>
    <phoneticPr fontId="2" type="noConversion"/>
  </si>
  <si>
    <t>chr5_139697197_GA,chr5_139697198_GA,chr5_139697199_GA,chr5_139697200_GA,chr5_139697202_GA,chr5_139697203_GA,chr5_139697204_GA,chr5_139697205_GA,chr5_139697207_GA,chr5_139697208_GA,chr5_139697209_GA,chr5_139697210_GA,chr5_139697211_GA</t>
  </si>
  <si>
    <t>5,6,6,3,30,30,26,31,70,73,72,70,72</t>
  </si>
  <si>
    <t>80,80,80,80,79,80,81,76,79,80,79,76,79</t>
  </si>
  <si>
    <t>0.0625,0.075,0.075,0.0375,0.37975,0.375,0.32099,0.40789,0.88608,0.9125,0.91139,0.92105,0.91139</t>
  </si>
  <si>
    <t>chr6_31795049_GA,chr6_31795050_GA,chr6_31795052_GA,chr6_31795053_GA,chr6_31795054_GA,chr6_31795055_GA,chr6_31795057_GA,chr6_31795058_GA,chr6_31795059_GA,chr6_31795060_GA,chr6_31795061_GA,chr6_31795065_GA,chr6_31795066_GA,chr6_31795067_GA</t>
  </si>
  <si>
    <t>4,4,20,29,25,32,50,51,52,52,51,14,10,16</t>
  </si>
  <si>
    <t>58,58,51,55,53,52,54,54,55,55,54,61,61,61</t>
  </si>
  <si>
    <t>0.06897,0.06897,0.39216,0.52727,0.4717,0.61538,0.92593,0.94444,0.94545,0.94545,0.94444,0.22951,0.16393,0.2623</t>
  </si>
  <si>
    <t>NGC</t>
    <phoneticPr fontId="2" type="noConversion"/>
  </si>
  <si>
    <t>chr1_942747_CT,chr1_942748_CT,chr1_942752_CT,chr1_942753_CT,chr1_942754_CT,chr1_942755_CT,chr1_942756_CT,chr1_942757_CT,chr1_942759_CT,chr1_942760_CT,chr1_942761_CT,chr1_942762_CT,chr1_942765_CT,chr1_942766_CT</t>
  </si>
  <si>
    <t>10,7,42,48,48,49,49,47,21,22,16,12,9,7</t>
  </si>
  <si>
    <t>50,52,51,50,50,51,51,49,46,50,48,51,52,53</t>
  </si>
  <si>
    <t>0.2,0.13462,0.82353,0.96,0.96,0.96078,0.96078,0.95918,0.45652,0.44,0.33333,0.23529,0.17308,0.13208</t>
  </si>
  <si>
    <t>chr7_5620020_GA,chr7_5620021_GA,chr7_5620023_GA,chr7_5620024_GA,chr7_5620025_GA,chr7_5620026_GA,chr7_5620028_GA,chr7_5620029_GA,chr7_5620031_GA,chr7_5620033_GA,chr7_5620036_GA,chr7_5620039_GA,chr7_5620042_GA,chr7_5620043_GA</t>
  </si>
  <si>
    <t>7,5,18,31,33,35,71,90,76,44,8,1,2,8</t>
  </si>
  <si>
    <t>0.05785,0.04098,0.15385,0.26496,0.28696,0.30702,0.60684,0.76923,0.65517,0.36364,0.06612,0.0084,0.01639,0.06612</t>
  </si>
  <si>
    <t>NTC</t>
    <phoneticPr fontId="2" type="noConversion"/>
  </si>
  <si>
    <t>chr12_95073657_GA,chr12_95073659_GA,chr12_95073660_GA,chr12_95073661_GA,chr12_95073662_GA,chr12_95073664_GA,chr12_95073665_GA,chr12_95073667_GA,chr12_95073668_GA,chr12_95073669_GA</t>
  </si>
  <si>
    <t>4,9,7,13,17,35,44,39,40,41</t>
  </si>
  <si>
    <t>53,53,54,54,50,50,49,48,49,48</t>
  </si>
  <si>
    <t>0.07547,0.16981,0.12963,0.24074,0.34,0.7,0.89796,0.8125,0.81633,0.85417</t>
  </si>
  <si>
    <t>NTG</t>
    <phoneticPr fontId="2" type="noConversion"/>
  </si>
  <si>
    <t>40bp</t>
    <phoneticPr fontId="2" type="noConversion"/>
  </si>
  <si>
    <t>chr1_1033043_CT,chr1_1033044_CT,chr1_1033045_CT,chr1_1033046_CT,chr1_1033047_CT,chr1_1033051_CT,chr1_1033052_CT,chr1_1033053_CT,chr1_1033054_CT,chr1_1033056_CT,chr1_1033057_CT,chr1_1033058_CT</t>
  </si>
  <si>
    <t>54,56,55,60,57,39,41,33,23,11,14,5</t>
  </si>
  <si>
    <t>74,74,74,75,75,75,76,74,77,73,78,77</t>
  </si>
  <si>
    <t>0.72973,0.75676,0.74324,0.8,0.76,0.52,0.53947,0.44595,0.2987,0.15068,0.17949,0.06494</t>
  </si>
  <si>
    <t>(2)-3</t>
    <phoneticPr fontId="2" type="noConversion"/>
  </si>
  <si>
    <t>NGT</t>
    <phoneticPr fontId="2" type="noConversion"/>
  </si>
  <si>
    <t>chr2_241932519_GA,chr2_241932521_GA,chr2_241932522_GA,chr2_241932523_GA,chr2_241932524_GA,chr2_241932528_GA,chr2_241932529_GA,chr2_241932530_GA,chr2_241932531_GA,chr2_241932532_GA</t>
  </si>
  <si>
    <t>5,4,10,15,17,24,24,24,21,11</t>
  </si>
  <si>
    <t>28,29,29,29,30,27,26,26,25,27</t>
  </si>
  <si>
    <t>0.17857,0.13793,0.34483,0.51724,0.56667,0.88889,0.92308,0.92308,0.84,0.40741</t>
  </si>
  <si>
    <t>NAG</t>
    <phoneticPr fontId="2" type="noConversion"/>
  </si>
  <si>
    <t>chr19</t>
  </si>
  <si>
    <t>chr19_15438187_GA,chr19_15438189_GA,chr19_15438191_GA,chr19_15438192_GA,chr19_15438193_GA,chr19_15438194_GA,chr19_15438196_GA,chr19_15438197_GA,chr19_15438199_GA,chr19_15438200_GA,chr19_15438201_GA,chr19_15438202_GA,chr19_15438203_GA</t>
  </si>
  <si>
    <t>5,3,3,6,9,13,15,19,16,25,18,18,13</t>
  </si>
  <si>
    <t>44,44,42,43,41,39,40,38,41,38,40,41,42</t>
  </si>
  <si>
    <t>0.11364,0.06818,0.07143,0.13953,0.21951,0.33333,0.375,0.5,0.39024,0.65789,0.45,0.43902,0.30952</t>
  </si>
  <si>
    <t>OUT</t>
    <phoneticPr fontId="2" type="noConversion"/>
  </si>
  <si>
    <t>chr6_28251609_CT,chr6_28251611_CT,chr6_28251612_CT,chr6_28251614_CT,chr6_28251615_CT,chr6_28251617_CT,chr6_28251618_CT,chr6_28251619_CT,chr6_28251620_CT,chr6_28251622_CT,chr6_28251624_CT,chr6_28251626_CT,chr6_28251633_CT,chr6_28251636_CT</t>
  </si>
  <si>
    <t>4,25,22,39,19,37,27,36,31,13,7,2,3,4</t>
  </si>
  <si>
    <t>97,95,96,97,97,92,92,93,94,95,100,100,101,99</t>
  </si>
  <si>
    <t>0.04124,0.26316,0.22917,0.40206,0.19588,0.40217,0.29348,0.3871,0.32979,0.13684,0.07,0.02,0.0297,0.0404</t>
  </si>
  <si>
    <t>chr17_79272594_GA,chr17_79272595_GA,chr17_79272596_GA,chr17_79272597_GA,chr17_79272598_GA,chr17_79272601_GA,chr17_79272602_GA,chr17_79272603_GA,chr17_79272604_GA,chr17_79272605_GA</t>
  </si>
  <si>
    <t>4,6,1,3,3,7,9,7,8,8</t>
  </si>
  <si>
    <t>20,19,18,20,19,20,20,20,20,21</t>
  </si>
  <si>
    <t>0.2,0.31579,0.05556,0.15,0.15789,0.35,0.45,0.35,0.4,0.38095</t>
  </si>
  <si>
    <t>chr1_47726203_CT,chr1_47726208_CT,chr1_47726218_CT,chr1_47726219_CT,chr1_47726221_CT,chr1_47726222_CT,chr1_47726224_CT,chr1_47726225_CT,chr1_47726226_CT,chr1_47726227_CT</t>
  </si>
  <si>
    <t>4,10,15,12,14,12,7,7,4,5</t>
  </si>
  <si>
    <t>61,61,62,63,64,65,64,64,65,66</t>
  </si>
  <si>
    <t>0.06557,0.16393,0.24194,0.19048,0.21875,0.18462,0.10938,0.10938,0.06154,0.07576</t>
  </si>
  <si>
    <t>NCA</t>
    <phoneticPr fontId="2" type="noConversion"/>
  </si>
  <si>
    <t>chr2_96817559_GA,chr2_96817560_GA,chr2_96817561_GA,chr2_96817562_GT,chr2_96817564_GA,chr2_96817565_GA</t>
  </si>
  <si>
    <t>5,4,2,0,1,5</t>
  </si>
  <si>
    <t>19,18,18,17,18,17</t>
  </si>
  <si>
    <t>0.26316,0.22222,0.11111,0.0,0.05556,0.29412</t>
  </si>
  <si>
    <t>chr7_59749941_CT,chr7_59749942_CT,chr7_59749959_CT,chr7_59749962_CT,chr7_59749964_CT,chr7_59749966_CT,chr7_59749976_CT</t>
  </si>
  <si>
    <t>5,11,5,5,10,3,8</t>
  </si>
  <si>
    <t>62,62,67,68,68,66,69</t>
  </si>
  <si>
    <t>0.08065,0.17742,0.07463,0.07353,0.14706,0.04545,0.11594</t>
  </si>
  <si>
    <t>NAA</t>
    <phoneticPr fontId="2" type="noConversion"/>
  </si>
  <si>
    <t>30bp</t>
    <phoneticPr fontId="2" type="noConversion"/>
  </si>
  <si>
    <t>Sequence (5'-&gt;3')</t>
    <phoneticPr fontId="2" type="noConversion"/>
  </si>
  <si>
    <t>CAAGGTCTCCGGATTTGCAGA</t>
  </si>
  <si>
    <t>ATGATCGACGATACTTTGGGGG</t>
  </si>
  <si>
    <t>GACGACTGTGGCATCATCCTT</t>
  </si>
  <si>
    <t>CAGCTCCGAATTTATAGTGAGGG</t>
  </si>
  <si>
    <t>GTAGCTGTGGGGATCGGTG</t>
  </si>
  <si>
    <t>CTCAGAGAAGACCGGATCGAAC</t>
  </si>
  <si>
    <t>TTCTAATTTATCCTCCCTTCGG</t>
  </si>
  <si>
    <t>GGAGCCATATTTGTAACTTTGTAG</t>
  </si>
  <si>
    <t>GGAAAAAACAGAGCCAGGATTCCC</t>
  </si>
  <si>
    <t>CAATGGGCAGGACTTTGGACAG</t>
  </si>
  <si>
    <t>TACCCCATGCAACAGACTTACC</t>
  </si>
  <si>
    <t>CTCACGCCCTCTGACTTTAGG</t>
  </si>
  <si>
    <t>AGTAACAGTTAAGAACAATGGGGA</t>
  </si>
  <si>
    <t>CCTAGATTCTCTACCCGCTACG</t>
  </si>
  <si>
    <t>TGAATCTTCGGAGGCAAACAGA</t>
  </si>
  <si>
    <t>GCTTTAAAAACCGCACCTACGT</t>
  </si>
  <si>
    <t>CAAGTTAGACAGGCGGGCATT</t>
  </si>
  <si>
    <t>CCACTGCATTTATCTAGACAGGGC</t>
  </si>
  <si>
    <t>CCCCAAACCCACCAAGACAG</t>
  </si>
  <si>
    <t>TCAAACTCGTAGCATCCAGAAGC</t>
  </si>
  <si>
    <t>CAAGAACTGAGAGGGTCCATCC</t>
  </si>
  <si>
    <t>GAAAGGGTGGGTGGTCATTTGA</t>
  </si>
  <si>
    <t>GCCCCTCCTTCTCATCCTTGTA</t>
  </si>
  <si>
    <t>GATGTTTCTGGGGAGAGTGCCA</t>
  </si>
  <si>
    <t>ATCTAATACAATGCCTCCGAAAGC</t>
  </si>
  <si>
    <t>CAGCGACATGGGTTAAACAACA</t>
  </si>
  <si>
    <t>TCGATTCTTCTTTCATCTTTGTGC</t>
  </si>
  <si>
    <t>GGAGGAGGGTGTTTACGGTTAT</t>
  </si>
  <si>
    <t>CCCTGACATTCTGAGACACGG</t>
  </si>
  <si>
    <t>GTGTCCCAGGTGATCGACG</t>
  </si>
  <si>
    <t>GCACAGATCAAAACACATCTCCA</t>
  </si>
  <si>
    <t>GGCTCTTGTTAGGCTTTGTCC</t>
  </si>
  <si>
    <t>veg2-guideNY-108</t>
    <phoneticPr fontId="2" type="noConversion"/>
  </si>
  <si>
    <t>veg2-guideNY-138</t>
    <phoneticPr fontId="2" type="noConversion"/>
  </si>
  <si>
    <t>veg2-guideNY-116</t>
    <phoneticPr fontId="2" type="noConversion"/>
  </si>
  <si>
    <t>veg2-guideNY-93</t>
    <phoneticPr fontId="2" type="noConversion"/>
  </si>
  <si>
    <t>veg2-offYgdNO-1_HTSfwd</t>
    <phoneticPr fontId="2" type="noConversion"/>
  </si>
  <si>
    <t>veg2-offYgdNO-1_HTSrev</t>
    <phoneticPr fontId="2" type="noConversion"/>
  </si>
  <si>
    <t>veg2-offYgdNO-2_HTSfwd</t>
  </si>
  <si>
    <t>veg2-offYgdNO-2_HTSrev</t>
  </si>
  <si>
    <t>veg2-offYgdNO-3_HTSfwd</t>
  </si>
  <si>
    <t>veg2-offYgdNO-3_HTSrev</t>
  </si>
  <si>
    <t>veg2-offYgdNO-4_HTSfwd</t>
  </si>
  <si>
    <t>veg2-offYgdNO-4_HTSrev</t>
  </si>
  <si>
    <t>veg2-offYgdNO-1</t>
    <phoneticPr fontId="2" type="noConversion"/>
  </si>
  <si>
    <t>veg2-offYgdNO-2</t>
  </si>
  <si>
    <t>veg2-offYgdNO-3</t>
  </si>
  <si>
    <t>veg2-offYgdNO-4</t>
  </si>
  <si>
    <t>veg2-offNOgdNO-1</t>
    <phoneticPr fontId="2" type="noConversion"/>
  </si>
  <si>
    <t>veg2-offNOgdNO-2</t>
  </si>
  <si>
    <t>veg2-offNOgdNO-2</t>
    <phoneticPr fontId="2" type="noConversion"/>
  </si>
  <si>
    <t>veg2-offNOgdNO-1_HTSfwd</t>
    <phoneticPr fontId="2" type="noConversion"/>
  </si>
  <si>
    <t>veg2-offNOgdNO-1_HTSrev</t>
    <phoneticPr fontId="2" type="noConversion"/>
  </si>
  <si>
    <t>veg2-offNOgdNO-2_HTSfwd</t>
  </si>
  <si>
    <t>veg2-offNOgdNO-2_HTSrev</t>
  </si>
  <si>
    <t>veg2-offNOgdNO-3_HTSfwd</t>
  </si>
  <si>
    <t>veg2-offNOgdNO-3_HTSrev</t>
  </si>
  <si>
    <t>veg2-offNOgdNO-1</t>
    <phoneticPr fontId="2" type="noConversion"/>
  </si>
  <si>
    <t>veg2-offNOgdNO-3</t>
  </si>
  <si>
    <t>veg2-offNOgdNO-4</t>
  </si>
  <si>
    <t>veg2-offNOgdNO-4_HTSfwd</t>
  </si>
  <si>
    <t>veg2-offNOgdNO-4_HTSrev</t>
  </si>
  <si>
    <t>veg2-offNOgdNO-5_HTSfwd</t>
  </si>
  <si>
    <t>veg2-offNOgdNO-5_HTSrev</t>
  </si>
  <si>
    <t>veg2-offNOgdNO-6_HTSfwd</t>
  </si>
  <si>
    <t>veg2-offNOgdNO-6_HTSrev</t>
  </si>
  <si>
    <t>AGGTGAGGATGCTGGTTTAGAC</t>
  </si>
  <si>
    <t>AATTCCGTTTCAACTACTGTGTGT</t>
  </si>
  <si>
    <t>veg2-offNOgdNO-5</t>
  </si>
  <si>
    <t>veg2-offNOgdNO-6</t>
  </si>
  <si>
    <t>veg2-offNOgdNO-7</t>
  </si>
  <si>
    <t>veg2-offNOgdNO-8</t>
  </si>
  <si>
    <t>veg2-offNOgdNO-9</t>
  </si>
  <si>
    <t>TCAGAGTTCGTGACCTCTTTCT</t>
  </si>
  <si>
    <t>TGGCTTCAAAAATTACCTGGCTG</t>
  </si>
  <si>
    <t>veg2-offNOgdNO-5</t>
    <phoneticPr fontId="2" type="noConversion"/>
  </si>
  <si>
    <t>CCTTGTACTGTGGGAACTGAC</t>
  </si>
  <si>
    <t>AAGGTTCCCCTCTGTTCTGG</t>
  </si>
  <si>
    <t>GACCACAGCGCTCAGATACTAA</t>
  </si>
  <si>
    <t>CGAGAACTCTGCGGACAATGG</t>
  </si>
  <si>
    <t>AAGCCATTCCCCTCTTCTCAGT</t>
  </si>
  <si>
    <t>TTCACCAACAACAGGGAAGTCC</t>
  </si>
  <si>
    <t>veg2-offNOgdNO-7_HTSfwd</t>
  </si>
  <si>
    <t>veg2-offNOgdNO-7_HTSrev</t>
  </si>
  <si>
    <t>veg2-offNOgdNO-8_HTSfwd</t>
  </si>
  <si>
    <t>veg2-offNOgdNO-8_HTSrev</t>
  </si>
  <si>
    <t>TCTTATCAATCCAAAGATCCGCA</t>
  </si>
  <si>
    <t>CAGATGAGTGGGTGTCTGAAC</t>
  </si>
  <si>
    <t>CTGGAGGAATTCAAGCGAGGTA</t>
  </si>
  <si>
    <t>CCACTCTGATCGATGGCCTTTA</t>
  </si>
  <si>
    <t>veg2-offNOgdNO-9_HTSfwd</t>
  </si>
  <si>
    <t>veg2-offNOgdNO-9_HTSrev</t>
  </si>
  <si>
    <t>Name</t>
    <phoneticPr fontId="2" type="noConversion"/>
  </si>
  <si>
    <t>Candidate</t>
    <phoneticPr fontId="2" type="noConversion"/>
  </si>
  <si>
    <t>chr9_94648646_GA,chr9_94648648_GA,chr9_94648649_GA,chr9_94648651_GA,chr9_94648652_GA,chr9_94648653_GA,chr9_94648654_GA,chr9_94648656_GA,chr9_94648657_GA,chr9_94648658_GA,chr9_94648659_GA</t>
  </si>
  <si>
    <t>9,13,23,42,61,73,78,186,192,193,194</t>
  </si>
  <si>
    <t>0.04327,0.06132,0.10952,0.2029,0.29902,0.36139,0.4,0.90732,0.93204,0.94608,0.94634</t>
  </si>
  <si>
    <t>chr10_47451461_GA,chr10_47451463_GA,chr10_47451464_GA,chr10_47451466_GA,chr10_47451467_GA,chr10_47451468_GA,chr10_47451469_GA,chr10_47451471_GA,chr10_47451472_GA,chr10_47451474_GA</t>
  </si>
  <si>
    <t>5,4,9,15,28,33,22,53,52,10</t>
  </si>
  <si>
    <t>55,56,54,55,55,55,53,56,56,56</t>
  </si>
  <si>
    <t>0.09091,0.07143,0.16667,0.27273,0.50909,0.6,0.41509,0.94643,0.92857,0.17857</t>
  </si>
  <si>
    <t>chrX_110087653_CT,chrX_110087655_CT,chrX_110087658_CT,chrX_110087659_CT,chrX_110087660_CT,chrX_110087662_CT,chrX_110087664_CT,chrX_110087665_CT,chrX_110087666_CT,chrX_110087667_CT,chrX_110087669_CT</t>
  </si>
  <si>
    <t>6,71,78,75,77,76,26,26,18,18,7</t>
  </si>
  <si>
    <t>103,97,96,93,93,93,95,97,96,96,102</t>
  </si>
  <si>
    <t>0.05825,0.73196,0.8125,0.80645,0.82796,0.8172,0.27368,0.26804,0.1875,0.1875,0.06863</t>
  </si>
  <si>
    <t>chr15_101133214_GA,chr15_101133215_GA,chr15_101133216_GA,chr15_101133217_GA,chr15_101133219_GA,chr15_101133221_GA,chr15_101133222_GA,chr15_101133223_GA,chr15_101133224_GA,chr15_101133227_GA,chr15_101133229_GA,chr15_101133230_GA,chr15_101133236_GA,chr15_101133242_GA,chr15_101133243_GA,chr15_101133244_GA</t>
  </si>
  <si>
    <t>9,9,22,23,49,51,49,47,47,36,3,4,1,6,5,8</t>
  </si>
  <si>
    <t>65,65,61,62,62,62,61,60,60,62,65,64,65,61,60,58</t>
  </si>
  <si>
    <t>0.13846,0.13846,0.36066,0.37097,0.79032,0.82258,0.80328,0.78333,0.78333,0.58065,0.04615,0.0625,0.01538,0.09836,0.08333,0.13793</t>
  </si>
  <si>
    <t>chr22_50267491_GA,chr22_50267492_GA,chr22_50267493_GA,chr22_50267497_GA,chr22_50267498_GA,chr22_50267499_GA,chr22_50267500_GA,chr22_50267501_GA,chr22_50267505_GA,chr22_50267506_GA</t>
  </si>
  <si>
    <t>5,13,12,38,37,37,35,29,7,7</t>
  </si>
  <si>
    <t>42,42,40,42,41,41,41,42,43,42</t>
  </si>
  <si>
    <t>0.11905,0.30952,0.3,0.90476,0.90244,0.90244,0.85366,0.69048,0.16279,0.16667</t>
  </si>
  <si>
    <t>chr17_17810730_CT,chr17_17810731_CT,chr17_17810735_CT,chr17_17810736_CT,chr17_17810738_CT,chr17_17810739_CT,chr17_17810741_CT,chr17_17810742_CT,chr17_17810743_CT,chr17_17810744_CT,chr17_17810746_CT,chr17_17810747_CT</t>
  </si>
  <si>
    <t>7,7,30,28,31,35,16,16,14,15,10,6</t>
  </si>
  <si>
    <t>46,46,44,44,44,45,43,45,44,46,46,46</t>
  </si>
  <si>
    <t>0.15217,0.15217,0.68182,0.63636,0.70455,0.77778,0.37209,0.35556,0.31818,0.32609,0.21739,0.13043</t>
  </si>
  <si>
    <t>veg2-offNOgdNO-10</t>
  </si>
  <si>
    <t>veg2-offNOgdNO-10_HTSfwd</t>
  </si>
  <si>
    <t>veg2-offNOgdNO-10_HTSrev</t>
  </si>
  <si>
    <t>GGGAGAGGGGCGACCTAC</t>
  </si>
  <si>
    <t>GGCGGGGTCATGCAAATG</t>
  </si>
  <si>
    <t>veg2-offNOgdNO-11</t>
  </si>
  <si>
    <t>CACGATCACACGGGCAAGA</t>
  </si>
  <si>
    <t>CCTTCCTTCTCCGCTTCACAAG</t>
  </si>
  <si>
    <t>veg2-offNOgdNO-12</t>
  </si>
  <si>
    <t>veg2-offNOgdNO-11_HTSfwd</t>
  </si>
  <si>
    <t>veg2-offNOgdNO-11_HTSrev</t>
  </si>
  <si>
    <t>veg2-offNOgdNO-12_HTSfwd</t>
  </si>
  <si>
    <t>veg2-offNOgdNO-12_HTSrev</t>
  </si>
  <si>
    <t>ACCCCCGCATCTGTCTCCA</t>
  </si>
  <si>
    <t>TGTCGGCGTAACTGACCCAC</t>
  </si>
  <si>
    <t>veg2-offNOgdNO-8</t>
    <phoneticPr fontId="2" type="noConversion"/>
  </si>
  <si>
    <t>veg2-guideNY-93</t>
    <phoneticPr fontId="2" type="noConversion"/>
  </si>
  <si>
    <t>veg2-guideYY-78</t>
    <phoneticPr fontId="2" type="noConversion"/>
  </si>
  <si>
    <t>veg2-guideYY-105</t>
    <phoneticPr fontId="2" type="noConversion"/>
  </si>
  <si>
    <t>veg2-guideYY-12</t>
    <phoneticPr fontId="2" type="noConversion"/>
  </si>
  <si>
    <t>veg2-guideYY-16</t>
    <phoneticPr fontId="2" type="noConversion"/>
  </si>
  <si>
    <t>veg2-guideYY-30</t>
    <phoneticPr fontId="2" type="noConversion"/>
  </si>
  <si>
    <t>veg2-guideYY-13</t>
    <phoneticPr fontId="2" type="noConversion"/>
  </si>
  <si>
    <t>veg2-offNOgdNO-13</t>
  </si>
  <si>
    <t>ATTTGTACCTGTTGTGTTGGGC</t>
  </si>
  <si>
    <t>GAAGCTTCTTCGTGCCCTTTC</t>
  </si>
  <si>
    <t>veg2-offNOgdNO-13_HTSfwd</t>
  </si>
  <si>
    <t>veg2-offNOgdNO-13_HTSrev</t>
  </si>
  <si>
    <t>veg2-offNOgdNO-14_HTSfwd</t>
  </si>
  <si>
    <t>veg2-offNOgdNO-14_HTSrev</t>
  </si>
  <si>
    <t>veg2-offNOgdNO-15_HTSfwd</t>
  </si>
  <si>
    <t>veg2-offNOgdNO-15_HTSrev</t>
  </si>
  <si>
    <t>veg2-offNOgdNO-16_HTSrev</t>
  </si>
  <si>
    <t>veg2-offNOgdNO-14</t>
  </si>
  <si>
    <t>veg2-offNOgdNO-15</t>
  </si>
  <si>
    <t>veg2-offNOgdNO-16</t>
  </si>
  <si>
    <t>VEGFA-off-target-01.1925</t>
  </si>
  <si>
    <t>chr5_6714951_CT,chr5_6714959_CT,chr5_6714961_CT,chr5_6714974_CT,chr5_6714982_CT,chr5_6714985_CT,chr5_6714987_CT,chr5_6714989_CT,chr5_6714992_CT,chr5_6714993_CT,chr5_6714994_CT,chr5_6714995_CT,chr5_6714997_CT,chr5_6714998_CT,chr5_6715000_CT,chr5_6715001_CT,chr5_6715002_CT</t>
  </si>
  <si>
    <t>4,3,4,2,33,7,105,245,154,227,283,295,302,238,105,65,77</t>
  </si>
  <si>
    <t>0.01408,0.0101,0.01311,0.00599,0.09565,0.02006,0.30523,0.74018,0.47678,0.70062,0.87888,0.919,0.96795,0.75556,0.33546,0.20833,0.24214</t>
  </si>
  <si>
    <t>VEGFA-off-target-02.1549</t>
  </si>
  <si>
    <t>chr2_241275178_CT,chr2_241275179_CT,chr2_241275180_CT,chr2_241275181_CT,chr2_241275182_CT,chr2_241275183_CT,chr2_241275184_CT,chr2_241275186_CT,chr2_241275187_CT,chr2_241275188_CT,chr2_241275189_CT,chr2_241275191_CT,chr2_241275192_CT,chr2_241275194_CT</t>
  </si>
  <si>
    <t>514,509,529,536,518,453,348,210,175,131,99,48,14,21</t>
  </si>
  <si>
    <t>0.96075,0.94085,0.98694,0.99259,0.96462,0.83579,0.64444,0.37567,0.30702,0.22982,0.16981,0.07705,0.02222,0.03302</t>
  </si>
  <si>
    <t>CCATGTGTATGTATCAAGGGTGG</t>
  </si>
  <si>
    <t>ACAACTTTAGGGTTTCAGTGGG</t>
  </si>
  <si>
    <t>VEGFA-off-target-03.1178</t>
  </si>
  <si>
    <t>chr9_100837359_GA,chr9_100837364_GA,chr9_100837366_GA,chr9_100837367_GA,chr9_100837369_GA,chr9_100837370_GA,chr9_100837371_GA,chr9_100837372_GA,chr9_100837374_GA,chr9_100837375_GA,chr9_100837376_GA,chr9_100837377_GA,chr9_100837378_GA,chr9_100837379_GA,chr9_100837380_GA</t>
  </si>
  <si>
    <t>7,18,15,32,149,149,176,223,481,557,575,580,563,482,365</t>
  </si>
  <si>
    <t>VEGFA-off-target-06.919</t>
  </si>
  <si>
    <t>chr11_72237742_CT,chr11_72237745_CT,chr11_72237748_CT,chr11_72237749_CT,chr11_72237750_CT,chr11_72237752_CT,chr11_72237753_CT,chr11_72237755_CT,chr11_72237756_CT,chr11_72237757_CT,chr11_72237758_CT,chr11_72237760_CT,chr11_72237763_CT,chr11_72237764_CT</t>
  </si>
  <si>
    <t>21,4,536,532,513,536,463,202,184,131,131,53,23,14</t>
  </si>
  <si>
    <t>0.03506,0.00693,0.9781,0.97258,0.93784,0.98529,0.85267,0.38113,0.33948,0.24037,0.23477,0.0917,0.03952,0.02385</t>
  </si>
  <si>
    <t>VEGFA-off-target-07.803</t>
  </si>
  <si>
    <t>chr17_4455454_GA,chr17_4455456_GA,chr17_4455457_GA,chr17_4455459_GA,chr17_4455460_GA,chr17_4455461_GA,chr17_4455462_GA,chr17_4455464_GA,chr17_4455466_GA,chr17_4455467_GA,chr17_4455468_GA,chr17_4455469_GA,chr17_4455470_GA,chr17_4455471_GA</t>
  </si>
  <si>
    <t>9,25,57,119,129,151,211,258,539,539,539,539,410,190</t>
  </si>
  <si>
    <t>0.01604,0.0444,0.10252,0.21558,0.2367,0.27757,0.39292,0.47955,0.98718,0.99081,0.98358,0.98358,0.74007,0.34234</t>
  </si>
  <si>
    <t>0.01122,0.02922,0.02396,0.05186,0.24958,0.25042,0.29831,0.3799,0.82788,0.95051,0.98291,0.98807,0.95911,0.81695,0.62287</t>
  </si>
  <si>
    <t>GCACTTGACGATGTTGTTCAGG</t>
  </si>
  <si>
    <t>ACCTAGGTCATCGGGCTTCT</t>
  </si>
  <si>
    <t>VEGFA-off-target-09.767</t>
  </si>
  <si>
    <t>chr9_27338850_CT,chr9_27338851_CT,chr9_27338862_CT,chr9_27338863_CT,chr9_27338864_CT,chr9_27338865_CT,chr9_27338867_CT,chr9_27338868_CT,chr9_27338869_CT,chr9_27338871_CT,chr9_27338872_CT,chr9_27338873_CT,chr9_27338874_CT,chr9_27338877_CT,chr9_27338879_CT,chr9_27338880_CT</t>
  </si>
  <si>
    <t>8,7,299,582,708,710,708,682,612,283,217,139,121,34,21,22</t>
  </si>
  <si>
    <t>0.01097,0.00949,0.41128,0.80833,0.98197,0.98886,0.98745,0.94722,0.85237,0.40142,0.30563,0.19413,0.16852,0.04607,0.02826,0.02953</t>
  </si>
  <si>
    <t>VEGFA-off-target-18.446</t>
  </si>
  <si>
    <t>chr10_133336423_CT,chr10_133336427_CT,chr10_133336429_CT,chr10_133336430_CT,chr10_133336431_CT,chr10_133336433_CT,chr10_133336434_CT,chr10_133336435_CT,chr10_133336436_CT,chr10_133336438_CT,chr10_133336439_CT,chr10_133336440_CT,chr10_133336441_CT,chr10_133336443_CT</t>
  </si>
  <si>
    <t>18,65,45,81,109,175,172,170,158,83,63,62,42,5</t>
  </si>
  <si>
    <t>0.09524,0.35326,0.2459,0.44751,0.59563,0.9887,0.96629,0.95506,0.87778,0.47977,0.35593,0.34831,0.22826,0.02618</t>
  </si>
  <si>
    <t>GGCTATGCTCAGTTAGGGGTTG</t>
  </si>
  <si>
    <t>CGAAATCTAGCGCTGTCCCT</t>
  </si>
  <si>
    <t>vegfa-Guideseq-09</t>
    <phoneticPr fontId="2" type="noConversion"/>
  </si>
  <si>
    <t>vegfa-Guideseq-18</t>
    <phoneticPr fontId="2" type="noConversion"/>
  </si>
  <si>
    <t>ACACTCTTTCCCTACACGACGCTCTTCCGATCTNNNNCCTTGGGATCCCGCAGCTGA</t>
    <phoneticPr fontId="2" type="noConversion"/>
  </si>
  <si>
    <t>TGGAGTTCAGACGTGTGCTCTTCCGATCTNNNNNNGTCCTTAGAAAGTCATGCCCCAG</t>
    <phoneticPr fontId="2" type="noConversion"/>
  </si>
  <si>
    <t>ACACTCTTTCCCTACACGACGCTCTTCCGATCTNNNNATGATCGACGATACTTTGGGGG</t>
    <phoneticPr fontId="2" type="noConversion"/>
  </si>
  <si>
    <t>TGGAGTTCAGACGTGTGCTCTTCCGATCTNNNNNNCAAGGTCTCCGGATTTGCAGA</t>
    <phoneticPr fontId="2" type="noConversion"/>
  </si>
  <si>
    <t>ACACTCTTTCCCTACACGACGCTCTTCCGATCTNNNNGACGACTGTGGCATCATCCTT</t>
    <phoneticPr fontId="2" type="noConversion"/>
  </si>
  <si>
    <t>TGGAGTTCAGACGTGTGCTCTTCCGATCTNNNNNNCAGCTCCGAATTTATAGTGAGGG</t>
    <phoneticPr fontId="2" type="noConversion"/>
  </si>
  <si>
    <t>ACACTCTTTCCCTACACGACGCTCTTCCGATCTNNNNGTAGCTGTGGGGATCGGTG</t>
    <phoneticPr fontId="2" type="noConversion"/>
  </si>
  <si>
    <t>TGGAGTTCAGACGTGTGCTCTTCCGATCTNNNNNNCTCAGAGAAGACCGGATCGAAC</t>
    <phoneticPr fontId="2" type="noConversion"/>
  </si>
  <si>
    <t>ACACTCTTTCCCTACACGACGCTCTTCCGATCTNNNNTTCTAATTTATCCTCCCTTCGG</t>
    <phoneticPr fontId="2" type="noConversion"/>
  </si>
  <si>
    <t>TGGAGTTCAGACGTGTGCTCTTCCGATCTNNNNNNGGAGCCATATTTGTAACTTTGTAG</t>
    <phoneticPr fontId="2" type="noConversion"/>
  </si>
  <si>
    <t>TGGAGTTCAGACGTGTGCTCTTCCGATCTNNNNNNGGAAAAAACAGAGCCAGGATTCCC</t>
    <phoneticPr fontId="2" type="noConversion"/>
  </si>
  <si>
    <t>ACACTCTTTCCCTACACGACGCTCTTCCGATCTNNNNCAATGGGCAGGACTTTGGACAG</t>
    <phoneticPr fontId="2" type="noConversion"/>
  </si>
  <si>
    <t>TGGAGTTCAGACGTGTGCTCTTCCGATCTNNNNNNAGTAACAGTTAAGAACAATGGGGA</t>
    <phoneticPr fontId="2" type="noConversion"/>
  </si>
  <si>
    <t>ACACTCTTTCCCTACACGACGCTCTTCCGATCTNNNNCCTAGATTCTCTACCCGCTACG</t>
    <phoneticPr fontId="2" type="noConversion"/>
  </si>
  <si>
    <t>ACACTCTTTCCCTACACGACGCTCTTCCGATCTNNNNTACCCCATGCAACAGACTTACC</t>
    <phoneticPr fontId="2" type="noConversion"/>
  </si>
  <si>
    <t>TGGAGTTCAGACGTGTGCTCTTCCGATCTNNNNNNCTCACGCCCTCTGACTTTAGG</t>
    <phoneticPr fontId="2" type="noConversion"/>
  </si>
  <si>
    <t>ACACTCTTTCCCTACACGACGCTCTTCCGATCTNNNNTGAATCTTCGGAGGCAAACAGA</t>
    <phoneticPr fontId="2" type="noConversion"/>
  </si>
  <si>
    <t>TGGAGTTCAGACGTGTGCTCTTCCGATCTNNNNNNGCTTTAAAAACCGCACCTACGT</t>
    <phoneticPr fontId="2" type="noConversion"/>
  </si>
  <si>
    <t>ACACTCTTTCCCTACACGACGCTCTTCCGATCTNNNNCAAGTTAGACAGGCGGGCATT</t>
    <phoneticPr fontId="2" type="noConversion"/>
  </si>
  <si>
    <t>TGGAGTTCAGACGTGTGCTCTTCCGATCTNNNNNNCCACTGCATTTATCTAGACAGGGC</t>
    <phoneticPr fontId="2" type="noConversion"/>
  </si>
  <si>
    <t>ACACTCTTTCCCTACACGACGCTCTTCCGATCTNNNNCCCCAAACCCACCAAGACAG</t>
    <phoneticPr fontId="2" type="noConversion"/>
  </si>
  <si>
    <t>TGGAGTTCAGACGTGTGCTCTTCCGATCTNNNNNNTCAAACTCGTAGCATCCAGAAGC</t>
    <phoneticPr fontId="2" type="noConversion"/>
  </si>
  <si>
    <t>ACACTCTTTCCCTACACGACGCTCTTCCGATCTNNNNCAAGAACTGAGAGGGTCCATCC</t>
    <phoneticPr fontId="2" type="noConversion"/>
  </si>
  <si>
    <t>TGGAGTTCAGACGTGTGCTCTTCCGATCTNNNNNNGAAAGGGTGGGTGGTCATTTGA</t>
    <phoneticPr fontId="2" type="noConversion"/>
  </si>
  <si>
    <t>ACACTCTTTCCCTACACGACGCTCTTCCGATCTNNNNGCCCCTCCTTCTCATCCTTGTA</t>
    <phoneticPr fontId="2" type="noConversion"/>
  </si>
  <si>
    <t>TGGAGTTCAGACGTGTGCTCTTCCGATCTNNNNNNGATGTTTCTGGGGAGAGTGCCA</t>
    <phoneticPr fontId="2" type="noConversion"/>
  </si>
  <si>
    <t>TGGAGTTCAGACGTGTGCTCTTCCGATCTNNNNNNATCTAATACAATGCCTCCGAAAGC</t>
    <phoneticPr fontId="2" type="noConversion"/>
  </si>
  <si>
    <t>ACACTCTTTCCCTACACGACGCTCTTCCGATCTNNNNCAGCGACATGGGTTAAACAACA</t>
    <phoneticPr fontId="2" type="noConversion"/>
  </si>
  <si>
    <t>TGGAGTTCAGACGTGTGCTCTTCCGATCTNNNNNNTCGATTCTTCTTTCATCTTTGTGC</t>
    <phoneticPr fontId="2" type="noConversion"/>
  </si>
  <si>
    <t>ACACTCTTTCCCTACACGACGCTCTTCCGATCTNNNNGGAGGAGGGTGTTTACGGTTAT</t>
    <phoneticPr fontId="2" type="noConversion"/>
  </si>
  <si>
    <t>ACACTCTTTCCCTACACGACGCTCTTCCGATCTNNNNCCCTGACATTCTGAGACACGG</t>
    <phoneticPr fontId="2" type="noConversion"/>
  </si>
  <si>
    <t>TGGAGTTCAGACGTGTGCTCTTCCGATCTNNNNNNGTGTCCCAGGTGATCGACG</t>
    <phoneticPr fontId="2" type="noConversion"/>
  </si>
  <si>
    <t>TGGAGTTCAGACGTGTGCTCTTCCGATCTNNNNNNGCACAGATCAAAACACATCTCCA</t>
    <phoneticPr fontId="2" type="noConversion"/>
  </si>
  <si>
    <t>ACACTCTTTCCCTACACGACGCTCTTCCGATCTNNNNGGCTCTTGTTAGGCTTTGTCC</t>
    <phoneticPr fontId="2" type="noConversion"/>
  </si>
  <si>
    <t>ACACTCTTTCCCTACACGACGCTCTTCCGATCTNNNNCACGATCACACGGGCAAGA</t>
    <phoneticPr fontId="2" type="noConversion"/>
  </si>
  <si>
    <t>TGGAGTTCAGACGTGTGCTCTTCCGATCTNNNNNNCCTTCCTTCTCCGCTTCACAAG</t>
    <phoneticPr fontId="2" type="noConversion"/>
  </si>
  <si>
    <t>ACACTCTTTCCCTACACGACGCTCTTCCGATCTNNNNTGTCGGCGTAACTGACCCAC</t>
    <phoneticPr fontId="2" type="noConversion"/>
  </si>
  <si>
    <t>TGGAGTTCAGACGTGTGCTCTTCCGATCTNNNNNNACCCCCGCATCTGTCTCCA</t>
    <phoneticPr fontId="2" type="noConversion"/>
  </si>
  <si>
    <t>ACACTCTTTCCCTACACGACGCTCTTCCGATCTNNNNAGGTGAGGATGCTGGTTTAGAC</t>
    <phoneticPr fontId="2" type="noConversion"/>
  </si>
  <si>
    <t>TGGAGTTCAGACGTGTGCTCTTCCGATCTNNNNNNAATTCCGTTTCAACTACTGTGTGT</t>
    <phoneticPr fontId="2" type="noConversion"/>
  </si>
  <si>
    <t>veg2-guideYY-78_HTSfwd</t>
    <phoneticPr fontId="2" type="noConversion"/>
  </si>
  <si>
    <t>veg2-guideYY-78_HTSrev</t>
    <phoneticPr fontId="2" type="noConversion"/>
  </si>
  <si>
    <t>veg2-guideYY-105_HTSfwd</t>
    <phoneticPr fontId="2" type="noConversion"/>
  </si>
  <si>
    <t>veg2-guideYY-105_HTSrev</t>
    <phoneticPr fontId="2" type="noConversion"/>
  </si>
  <si>
    <t>veg2-guideYY-12_HTSfwd</t>
    <phoneticPr fontId="2" type="noConversion"/>
  </si>
  <si>
    <t>veg2-guideYY-12_HTSrev</t>
    <phoneticPr fontId="2" type="noConversion"/>
  </si>
  <si>
    <t>veg2-guideYY-16_HTSfwd</t>
    <phoneticPr fontId="2" type="noConversion"/>
  </si>
  <si>
    <t>veg2-guideYY-16_HTSrev</t>
    <phoneticPr fontId="2" type="noConversion"/>
  </si>
  <si>
    <t>veg2-guideYY-30_HTSfwd</t>
    <phoneticPr fontId="2" type="noConversion"/>
  </si>
  <si>
    <t>veg2-guideYY-30_HTSrev</t>
    <phoneticPr fontId="2" type="noConversion"/>
  </si>
  <si>
    <t>veg2-guideYY-13_HTSfwd</t>
    <phoneticPr fontId="2" type="noConversion"/>
  </si>
  <si>
    <t>veg2-guideYY-13_HTSrev</t>
    <phoneticPr fontId="2" type="noConversion"/>
  </si>
  <si>
    <t>veg2-guideNY-108_HTSfwd</t>
    <phoneticPr fontId="2" type="noConversion"/>
  </si>
  <si>
    <t>veg2-guideNY-108_HTSrev</t>
    <phoneticPr fontId="2" type="noConversion"/>
  </si>
  <si>
    <t>veg2-guideNY-138_HTSfwd</t>
    <phoneticPr fontId="2" type="noConversion"/>
  </si>
  <si>
    <t>veg2-guideNY-138_HTSrev</t>
    <phoneticPr fontId="2" type="noConversion"/>
  </si>
  <si>
    <t>veg2-guideNY-116_HTSfwd</t>
    <phoneticPr fontId="2" type="noConversion"/>
  </si>
  <si>
    <t>veg2-guideNY-116_HTSrev</t>
    <phoneticPr fontId="2" type="noConversion"/>
  </si>
  <si>
    <t>veg2-guideNY-93_HTSfwd</t>
    <phoneticPr fontId="2" type="noConversion"/>
  </si>
  <si>
    <t>veg2-guideNY-93_HTSrev</t>
    <phoneticPr fontId="2" type="noConversion"/>
  </si>
  <si>
    <t>ACACTCTTTCCCTACACGACGCTCTTCCGATCTNNNNTCAGAGTTCGTGACCTCTTTCT</t>
    <phoneticPr fontId="2" type="noConversion"/>
  </si>
  <si>
    <t>TGGAGTTCAGACGTGTGCTCTTCCGATCTNNNNNNTGGCTTCAAAAATTACCTGGCTG</t>
    <phoneticPr fontId="2" type="noConversion"/>
  </si>
  <si>
    <t>ACACTCTTTCCCTACACGACGCTCTTCCGATCTNNNNGGGAGAGGGGCGACCTAC</t>
    <phoneticPr fontId="2" type="noConversion"/>
  </si>
  <si>
    <t>TGGAGTTCAGACGTGTGCTCTTCCGATCTNNNNNNGGCGGGGTCATGCAAATG</t>
    <phoneticPr fontId="2" type="noConversion"/>
  </si>
  <si>
    <t>ACACTCTTTCCCTACACGACGCTCTTCCGATCTNNNNCCTTGTACTGTGGGAACTGAC</t>
    <phoneticPr fontId="2" type="noConversion"/>
  </si>
  <si>
    <t>TGGAGTTCAGACGTGTGCTCTTCCGATCTNNNNNNAAGGTTCCCCTCTGTTCTGG</t>
    <phoneticPr fontId="2" type="noConversion"/>
  </si>
  <si>
    <t>ACACTCTTTCCCTACACGACGCTCTTCCGATCTNNNNGACCACAGCGCTCAGATACTAA</t>
    <phoneticPr fontId="2" type="noConversion"/>
  </si>
  <si>
    <t>TGGAGTTCAGACGTGTGCTCTTCCGATCTNNNNNNCGAGAACTCTGCGGACAATGG</t>
    <phoneticPr fontId="2" type="noConversion"/>
  </si>
  <si>
    <t>ACACTCTTTCCCTACACGACGCTCTTCCGATCTNNNNAAGCCATTCCCCTCTTCTCAGT</t>
    <phoneticPr fontId="2" type="noConversion"/>
  </si>
  <si>
    <t>TGGAGTTCAGACGTGTGCTCTTCCGATCTNNNNNNTTCACCAACAACAGGGAAGTCC</t>
    <phoneticPr fontId="2" type="noConversion"/>
  </si>
  <si>
    <t>ACACTCTTTCCCTACACGACGCTCTTCCGATCTNNNNCAGATGAGTGGGTGTCTGAAC</t>
    <phoneticPr fontId="2" type="noConversion"/>
  </si>
  <si>
    <t>TGGAGTTCAGACGTGTGCTCTTCCGATCTNNNNNNTCTTATCAATCCAAAGATCCGCA</t>
    <phoneticPr fontId="2" type="noConversion"/>
  </si>
  <si>
    <t>ACACTCTTTCCCTACACGACGCTCTTCCGATCTNNNNCTGGAGGAATTCAAGCGAGGTA</t>
    <phoneticPr fontId="2" type="noConversion"/>
  </si>
  <si>
    <t>TGGAGTTCAGACGTGTGCTCTTCCGATCTNNNNNNCCACTCTGATCGATGGCCTTTA</t>
    <phoneticPr fontId="2" type="noConversion"/>
  </si>
  <si>
    <t>ACACTCTTTCCCTACACGACGCTCTTCCGATCTNNNNATTTGTACCTGTTGTGTTGGGC</t>
    <phoneticPr fontId="2" type="noConversion"/>
  </si>
  <si>
    <t>TGGAGTTCAGACGTGTGCTCTTCCGATCTNNNNNNGAAGCTTCTTCGTGCCCTTTC</t>
    <phoneticPr fontId="2" type="noConversion"/>
  </si>
  <si>
    <t>TGGAGTTCAGACGTGTGCTCTTCCGATCTNNNNNNCCATGTGTATGTATCAAGGGTGG</t>
    <phoneticPr fontId="2" type="noConversion"/>
  </si>
  <si>
    <t>ACACTCTTTCCCTACACGACGCTCTTCCGATCTNNNNACAACTTTAGGGTTTCAGTGGG</t>
    <phoneticPr fontId="2" type="noConversion"/>
  </si>
  <si>
    <t>ACACTCTTTCCCTACACGACGCTCTTCCGATCTNNNNGCACTTGACGATGTTGTTCAGG</t>
    <phoneticPr fontId="2" type="noConversion"/>
  </si>
  <si>
    <t>TGGAGTTCAGACGTGTGCTCTTCCGATCTNNNNNNACCTAGGTCATCGGGCTTCT</t>
    <phoneticPr fontId="2" type="noConversion"/>
  </si>
  <si>
    <t>ACACTCTTTCCCTACACGACGCTCTTCCGATCTNNNNGGCTATGCTCAGTTAGGGGTTG</t>
    <phoneticPr fontId="2" type="noConversion"/>
  </si>
  <si>
    <t>TGGAGTTCAGACGTGTGCTCTTCCGATCTNNNNNNCGAAATCTAGCGCTGTCCCT</t>
    <phoneticPr fontId="2" type="noConversion"/>
  </si>
  <si>
    <t>V-all1-new</t>
    <phoneticPr fontId="2" type="noConversion"/>
  </si>
  <si>
    <t>VEGFA-verification</t>
    <phoneticPr fontId="2" type="noConversion"/>
  </si>
  <si>
    <t>vegfa-Guideseq-18 (emx-APOUGI-2)</t>
    <phoneticPr fontId="2" type="noConversion"/>
  </si>
  <si>
    <t>vegfa-Guideseq-09 (emx-APOUGI-6)</t>
    <phoneticPr fontId="2" type="noConversion"/>
  </si>
  <si>
    <t>1108NT gDNA</t>
    <phoneticPr fontId="2" type="noConversion"/>
  </si>
  <si>
    <t>MCF7</t>
    <phoneticPr fontId="2" type="noConversion"/>
  </si>
  <si>
    <t>RNF2-ontarget</t>
    <phoneticPr fontId="2" type="noConversion"/>
  </si>
  <si>
    <t>*2G</t>
    <phoneticPr fontId="2" type="noConversion"/>
  </si>
  <si>
    <t>vegfa2-Guideseq-2</t>
    <phoneticPr fontId="2" type="noConversion"/>
  </si>
  <si>
    <t>vegfa2-Guideseq-3</t>
    <phoneticPr fontId="2" type="noConversion"/>
  </si>
  <si>
    <t>vegfa2-Guideseq-6</t>
    <phoneticPr fontId="2" type="noConversion"/>
  </si>
  <si>
    <t>vegfa2-Guideseq-7</t>
    <phoneticPr fontId="2" type="noConversion"/>
  </si>
  <si>
    <t>RNF2-Ontarget_HTSfwd</t>
    <phoneticPr fontId="2" type="noConversion"/>
  </si>
  <si>
    <t>RNF2-Ontarget-1_HTSrev</t>
    <phoneticPr fontId="2" type="noConversion"/>
  </si>
  <si>
    <t>TGTGCAGACAAACGGAACTCAA</t>
  </si>
  <si>
    <t>AGCCAACATACAGAAGTCAGGAAT</t>
  </si>
  <si>
    <t>HEK4-ontarget_HTSfwd2</t>
    <phoneticPr fontId="21" type="noConversion"/>
  </si>
  <si>
    <t>HEK4-ontarget_HTSrev2</t>
    <phoneticPr fontId="21" type="noConversion"/>
  </si>
  <si>
    <t>HEK4-ontarget2</t>
    <phoneticPr fontId="21" type="noConversion"/>
  </si>
  <si>
    <t>AGATGGCTGACAAAGGCCG</t>
  </si>
  <si>
    <t>TTCAACCCGAACGGAGACAC</t>
  </si>
  <si>
    <t>ACACTCTTTCCCTACACGACGCTCTTCCGATCTNNNNTGTGCAGACAAACGGAACTCAA</t>
    <phoneticPr fontId="2" type="noConversion"/>
  </si>
  <si>
    <t>TGGAGTTCAGACGTGTGCTCTTCCGATCTNNNNNNAGCCAACATACAGAAGTCAGGAAT</t>
    <phoneticPr fontId="2" type="noConversion"/>
  </si>
  <si>
    <t>ACACTCTTTCCCTACACGACGCTCTTCCGATCTNNNNAGATGGCTGACAAAGGCCG</t>
    <phoneticPr fontId="2" type="noConversion"/>
  </si>
  <si>
    <t>TGGAGTTCAGACGTGTGCTCTTCCGATCTNNNNNNTTCAACCCGAACGGAGACAC</t>
    <phoneticPr fontId="2" type="noConversion"/>
  </si>
  <si>
    <r>
      <t>0.5</t>
    </r>
    <r>
      <rPr>
        <sz val="12"/>
        <color rgb="FFC00000"/>
        <rFont val="等线 (正文)"/>
        <family val="3"/>
        <charset val="134"/>
      </rPr>
      <t>[0.7]</t>
    </r>
    <phoneticPr fontId="2" type="noConversion"/>
  </si>
  <si>
    <r>
      <t>0.5</t>
    </r>
    <r>
      <rPr>
        <sz val="12"/>
        <color rgb="FFC00000"/>
        <rFont val="等线 (正文)"/>
        <charset val="134"/>
      </rPr>
      <t>[0.7]</t>
    </r>
    <phoneticPr fontId="2" type="noConversion"/>
  </si>
  <si>
    <r>
      <t>1</t>
    </r>
    <r>
      <rPr>
        <sz val="12"/>
        <color rgb="FFC00000"/>
        <rFont val="等线 (正文)"/>
        <charset val="134"/>
      </rPr>
      <t>[2]</t>
    </r>
    <phoneticPr fontId="2" type="noConversion"/>
  </si>
  <si>
    <r>
      <t>0.9</t>
    </r>
    <r>
      <rPr>
        <sz val="12"/>
        <color rgb="FFC00000"/>
        <rFont val="等线 (正文)"/>
        <charset val="134"/>
      </rPr>
      <t>[1.1]</t>
    </r>
    <phoneticPr fontId="2" type="noConversion"/>
  </si>
  <si>
    <r>
      <t>1</t>
    </r>
    <r>
      <rPr>
        <sz val="12"/>
        <color rgb="FFC00000"/>
        <rFont val="等线 (正文)"/>
        <charset val="134"/>
      </rPr>
      <t>[1.2]</t>
    </r>
    <phoneticPr fontId="2" type="noConversion"/>
  </si>
  <si>
    <t>5 sample*6 sites</t>
    <phoneticPr fontId="2" type="noConversion"/>
  </si>
  <si>
    <t>5 sample*5 sites</t>
    <phoneticPr fontId="2" type="noConversion"/>
  </si>
  <si>
    <t>1 sample*32 sites</t>
    <phoneticPr fontId="2" type="noConversion"/>
  </si>
  <si>
    <t>取_ul after 1st PCR</t>
    <phoneticPr fontId="2" type="noConversion"/>
  </si>
  <si>
    <t>2nd PCR</t>
    <phoneticPr fontId="2" type="noConversion"/>
  </si>
  <si>
    <t>Index A1</t>
    <phoneticPr fontId="2" type="noConversion"/>
  </si>
  <si>
    <t>Index A2</t>
  </si>
  <si>
    <t>Index A3</t>
  </si>
  <si>
    <t>Index A4</t>
  </si>
  <si>
    <t>Index A5</t>
  </si>
  <si>
    <t>Index A6</t>
    <phoneticPr fontId="2" type="noConversion"/>
  </si>
  <si>
    <t>Index A7</t>
  </si>
  <si>
    <t>Index A8</t>
  </si>
  <si>
    <t>Index A9</t>
  </si>
  <si>
    <t>Index A10</t>
  </si>
  <si>
    <t>Index A11</t>
    <phoneticPr fontId="2" type="noConversion"/>
  </si>
  <si>
    <t>x5管</t>
    <phoneticPr fontId="2" type="noConversion"/>
  </si>
  <si>
    <t>每管10ul洗脱</t>
    <phoneticPr fontId="2" type="noConversion"/>
  </si>
  <si>
    <t>10 cycles</t>
    <phoneticPr fontId="2" type="noConversion"/>
  </si>
  <si>
    <t>15 cycles</t>
    <phoneticPr fontId="2" type="noConversion"/>
  </si>
  <si>
    <t>1 ul Index&amp; 1 ul Uni</t>
    <phoneticPr fontId="2" type="noConversion"/>
  </si>
  <si>
    <t>12 ul Q5</t>
    <phoneticPr fontId="2" type="noConversion"/>
  </si>
  <si>
    <t>总体积 24 ul</t>
    <phoneticPr fontId="2" type="noConversion"/>
  </si>
  <si>
    <t>总体积 27.5 ul</t>
    <phoneticPr fontId="2" type="noConversion"/>
  </si>
  <si>
    <t>总体积 30 ul</t>
    <phoneticPr fontId="2" type="noConversion"/>
  </si>
  <si>
    <t>1 st XP</t>
    <phoneticPr fontId="2" type="noConversion"/>
  </si>
  <si>
    <t>2 nd XP</t>
    <phoneticPr fontId="2" type="noConversion"/>
  </si>
  <si>
    <t>1 X</t>
    <phoneticPr fontId="2" type="noConversion"/>
  </si>
  <si>
    <t>0.9X            (5 管合并共120 ul)</t>
    <phoneticPr fontId="2" type="noConversion"/>
  </si>
  <si>
    <t>x2管</t>
    <phoneticPr fontId="2" type="noConversion"/>
  </si>
  <si>
    <t>每管22.5 ul洗脱</t>
    <phoneticPr fontId="2" type="noConversion"/>
  </si>
  <si>
    <t>25 ul Q5</t>
    <phoneticPr fontId="2" type="noConversion"/>
  </si>
  <si>
    <t>总体积 50 ul</t>
    <phoneticPr fontId="2" type="noConversion"/>
  </si>
  <si>
    <t>0.9X            (2 管合并共100 ul)</t>
    <phoneticPr fontId="2" type="noConversion"/>
  </si>
  <si>
    <t>1 lane</t>
    <phoneticPr fontId="2" type="noConversion"/>
  </si>
  <si>
    <t>0.5 lane</t>
    <phoneticPr fontId="2" type="noConversion"/>
  </si>
  <si>
    <t>1.25 ul Index&amp;      1.25 ul Uni</t>
    <phoneticPr fontId="2" type="noConversion"/>
  </si>
  <si>
    <t>数据量总计119G</t>
    <phoneticPr fontId="2" type="noConversion"/>
  </si>
  <si>
    <t>HEK4-all1</t>
    <phoneticPr fontId="2" type="noConversion"/>
  </si>
  <si>
    <t>HEK4-all2</t>
  </si>
  <si>
    <t>RNF2-all1</t>
    <phoneticPr fontId="2" type="noConversion"/>
  </si>
  <si>
    <t>RNF2-all2</t>
  </si>
  <si>
    <t>delSG1</t>
    <phoneticPr fontId="2" type="noConversion"/>
  </si>
  <si>
    <t>delSG2</t>
  </si>
  <si>
    <t>vector1</t>
    <phoneticPr fontId="2" type="noConversion"/>
  </si>
  <si>
    <t>vector2</t>
  </si>
  <si>
    <t>x8管</t>
    <phoneticPr fontId="2" type="noConversion"/>
  </si>
  <si>
    <t>Index B1</t>
    <phoneticPr fontId="2" type="noConversion"/>
  </si>
  <si>
    <t>Index B2</t>
  </si>
  <si>
    <t>Index B3</t>
  </si>
  <si>
    <t>Index B4</t>
  </si>
  <si>
    <t>Index B5</t>
  </si>
  <si>
    <t>Index B6</t>
  </si>
  <si>
    <t>Index B7</t>
  </si>
  <si>
    <t>Index B8</t>
  </si>
  <si>
    <t>0.9X            (4 管合并共96 ul)</t>
    <phoneticPr fontId="2" type="noConversion"/>
  </si>
  <si>
    <t>0.9X(2 管合并共48 ul)</t>
    <phoneticPr fontId="2" type="noConversion"/>
  </si>
  <si>
    <t>8 sample*5 sites</t>
    <phoneticPr fontId="2" type="noConversion"/>
  </si>
  <si>
    <t>数据量总计60G</t>
    <phoneticPr fontId="2" type="noConversion"/>
  </si>
  <si>
    <t>2管，每管10 ul水洗脱后合并为20 ul      (预计3-5 ng/ul)</t>
    <phoneticPr fontId="2" type="noConversion"/>
  </si>
  <si>
    <t>1管，20 ul水洗脱     (预计3-5 ng/ul)</t>
    <phoneticPr fontId="2" type="noConversion"/>
  </si>
  <si>
    <t>1管，20 ul水洗脱     (预计~5 ng/ul)</t>
    <phoneticPr fontId="2" type="noConversion"/>
  </si>
  <si>
    <t>总体积 48 ul</t>
    <phoneticPr fontId="2" type="noConversion"/>
  </si>
  <si>
    <t>1管，20 ul水洗脱    (预计&gt;5 ng/ul)</t>
    <phoneticPr fontId="2" type="noConversion"/>
  </si>
  <si>
    <t>1管，20 ul水洗脱    (预计~7 ng/ul)</t>
    <phoneticPr fontId="2" type="noConversion"/>
  </si>
  <si>
    <t>PAM_fwd</t>
  </si>
  <si>
    <t>NGG</t>
  </si>
  <si>
    <t>GACCCCCTCCACCCCGC-CTC</t>
  </si>
  <si>
    <t>-|||X|||||X||||||-|||</t>
  </si>
  <si>
    <t>-ACCACCTCCTCCCCGCTCTC</t>
    <phoneticPr fontId="2" type="noConversion"/>
  </si>
  <si>
    <t>PAM_rev</t>
  </si>
  <si>
    <t>-GACCCCCTCCACCCCGCCTC</t>
    <phoneticPr fontId="2" type="noConversion"/>
  </si>
  <si>
    <t>-|||||||||||||||X|X-|</t>
  </si>
  <si>
    <t>GGACCCCCTCCACCCCACA-C</t>
  </si>
  <si>
    <t>-|||||||XXX-|||||||X|</t>
  </si>
  <si>
    <t>AGACCCCCATT-CCCCGCCCC</t>
  </si>
  <si>
    <t>GACCCCCTCCACCCCGCCTC</t>
  </si>
  <si>
    <t>XXXX|||||||||||X||XX</t>
  </si>
  <si>
    <t>CGATCCCTCCACCCCACCCT</t>
  </si>
  <si>
    <t>-GACCCCCTCCACCCCGCCTC-</t>
  </si>
  <si>
    <t>-|X|X|--|||||||||||XX-</t>
  </si>
  <si>
    <t>CGTCTC--TCCACCCCGCCATC</t>
  </si>
  <si>
    <t>GACCCCCTCCACCCCGCCTC-</t>
  </si>
  <si>
    <t>XXXX|||-|||||||||||X-</t>
  </si>
  <si>
    <t>CTTTCCC-CCACCCCGCCTGC</t>
  </si>
  <si>
    <t>-||XX|||-||||||||||X|</t>
  </si>
  <si>
    <t>AGAGACCC-CCACCCCGCCCC</t>
  </si>
  <si>
    <t>NAG</t>
  </si>
  <si>
    <t>GACCCCCTCCACCCCGC-CTC---</t>
  </si>
  <si>
    <t>----|||||||||||||-|||---</t>
  </si>
  <si>
    <t>----CCCTCCACCCCGCTCTCTGA</t>
    <phoneticPr fontId="2" type="noConversion"/>
  </si>
  <si>
    <t>XXXXX||||||||||||XXX</t>
  </si>
  <si>
    <t>TGAGACCTCCACCCCGCTCT</t>
  </si>
  <si>
    <t>-||||||||X|-||||X||||</t>
  </si>
  <si>
    <t>AGACCCCCTAC-CCCCTCCTC</t>
  </si>
  <si>
    <t>|-|||||||||||X|||-|||</t>
  </si>
  <si>
    <t>G-CCCCCTCCACCACGCACTC</t>
  </si>
  <si>
    <t>Match</t>
    <phoneticPr fontId="2" type="noConversion"/>
  </si>
  <si>
    <t>Mismatch</t>
    <phoneticPr fontId="2" type="noConversion"/>
  </si>
  <si>
    <t>sgRNA</t>
    <phoneticPr fontId="2" type="noConversion"/>
  </si>
  <si>
    <t>Align</t>
    <phoneticPr fontId="2" type="noConversion"/>
  </si>
  <si>
    <t>Sequence</t>
    <phoneticPr fontId="2" type="noConversion"/>
  </si>
  <si>
    <t>Strand</t>
    <phoneticPr fontId="2" type="noConversion"/>
  </si>
  <si>
    <t>总体积 43 ul</t>
    <phoneticPr fontId="2" type="noConversion"/>
  </si>
  <si>
    <t>CCATGAGGGGTTTGAGTGCA</t>
  </si>
  <si>
    <t>AACTTCCATACCAGCAGCAGTT</t>
  </si>
  <si>
    <t>Lib-sanger</t>
    <phoneticPr fontId="2" type="noConversion"/>
  </si>
  <si>
    <t>region_id</t>
  </si>
  <si>
    <t>SNP_ann</t>
  </si>
  <si>
    <t>Pass_info</t>
  </si>
  <si>
    <t>align_direction</t>
  </si>
  <si>
    <t>PAM_type</t>
  </si>
  <si>
    <t>PAM_seq</t>
  </si>
  <si>
    <t>align_total_match</t>
  </si>
  <si>
    <t>align_total_mismatch</t>
  </si>
  <si>
    <t>align_total_gap</t>
  </si>
  <si>
    <t>align_score</t>
  </si>
  <si>
    <t>seed_5bp_mismatch</t>
  </si>
  <si>
    <t>seed_5bp_gap</t>
  </si>
  <si>
    <t>seed_mis_gap</t>
  </si>
  <si>
    <t>head_5bp_mismatch</t>
  </si>
  <si>
    <t>head_5bp_gap</t>
  </si>
  <si>
    <t>head_8bp_mismatch</t>
  </si>
  <si>
    <t>head_8bp_gap</t>
  </si>
  <si>
    <t>align_target_seq</t>
  </si>
  <si>
    <t>align_info_state</t>
  </si>
  <si>
    <t>align_query_seq</t>
  </si>
  <si>
    <t>align_chr_name</t>
  </si>
  <si>
    <t>align_chr_start</t>
  </si>
  <si>
    <t>align_chr_end</t>
  </si>
  <si>
    <t>select</t>
  </si>
  <si>
    <t>run_mpmat_chr7_106285217_8_GA_458</t>
  </si>
  <si>
    <t>chr7_106285217_GA,chr7_106285218_GA,chr7_106285220_GA,chr7_106285221_GA,chr7_106285222_GA,chr7_106285223_GA,chr7_106285225_GA,chr7_106285226_GA</t>
  </si>
  <si>
    <t>False,False,False,False,False,False,False,False</t>
  </si>
  <si>
    <t>Pass,Pass,Pass,Pass,Pass,Pass,Pass,Pass</t>
  </si>
  <si>
    <t>CAG</t>
  </si>
  <si>
    <t>GCGCTCTTCCTCCCAGACGCCAG</t>
  </si>
  <si>
    <t>|XX|X|X|||X|||X|X|X||X|</t>
  </si>
  <si>
    <t>s</t>
  </si>
  <si>
    <t>run_mpmat_chr10_17030279_11_CT_175</t>
  </si>
  <si>
    <t>chr10_17030279_CT,chr10_17030280_CT,chr10_17030281_CT,chr10_17030283_CT,chr10_17030284_CT,chr10_17030285_CT,chr10_17030287_CT,chr10_17030288_CT,chr10_17030289_CT,chr10_17030290_CT,chr10_17030292_CT</t>
  </si>
  <si>
    <t>False,False,False,False,False,False,False,False,False,False,False</t>
  </si>
  <si>
    <t>Pass,Pass,Pass,Pass,Pass,Pass,Filter,Filter,Pass,Filter,Pass</t>
  </si>
  <si>
    <t>CGG</t>
  </si>
  <si>
    <t>CCACCCTCCCACCCCACCCCCGG</t>
  </si>
  <si>
    <t>XXX|||XX|||||||X||X||||</t>
  </si>
  <si>
    <t>run_mpmat_chr8_141002122_13_GA_476</t>
  </si>
  <si>
    <t>chr8_141002122_GA,chr8_141002125_GA,chr8_141002128_GA,chr8_141002129_GA,chr8_141002131_GA,chr8_141002132_GA,chr8_141002133_GA,chr8_141002134_GA,chr8_141002136_GA,chr8_141002137_GA,chr8_141002138_GA,chr8_141002139_GA,chr8_141002140_GA</t>
  </si>
  <si>
    <t>False,False,False,False,False,False,False,False,False,False,False,False,False</t>
  </si>
  <si>
    <t>Pass,Pass,Filter,Pass,Pass,Pass,Pass,Pass,Pass,Pass,Pass,Pass,Pass</t>
  </si>
  <si>
    <t>TATTTCCCCCACCCCACCTACGG</t>
  </si>
  <si>
    <t>X|XXX||X|||||||X|||X|||</t>
  </si>
  <si>
    <t>run_mpmat_chr8_67342966_5_CT_153</t>
  </si>
  <si>
    <t>chr8_67342966_CT,chr8_67342967_CT,chr8_67342969_CT,chr8_67342970_CT,chr8_67342972_CT</t>
  </si>
  <si>
    <t>False,False,False,False,False</t>
  </si>
  <si>
    <t>Pass,Filter,Pass,Pass,Pass</t>
  </si>
  <si>
    <t>CCCCGCCTCTGCCCCACATCCAG</t>
  </si>
  <si>
    <t>XX||X||||XX||||X|X|||X|</t>
  </si>
  <si>
    <t>run_mpmat_chr5_113616193_17_CT_98</t>
  </si>
  <si>
    <t>chr5_113616193_CT,chr5_113616194_CT,chr5_113616201_CT,chr5_113616202_CT,chr5_113616204_CT,chr5_113616205_CT,chr5_113616206_CT,chr5_113616208_CT,chr5_113616209_CT,chr5_113616212_CT,chr5_113616213_CT,chr5_113616214_CT,chr5_113616215_CT,chr5_113616216_CT,chr5_113616218_CT,chr5_113616219_CT,chr5_113616220_CT</t>
  </si>
  <si>
    <t>False,False,False,False,False,False,False,False,False,False,False,False,False,False,False,False,False</t>
  </si>
  <si>
    <t>Pass,Pass,Pass,Pass,Pass,Pass,Pass,Pass,Pass,Pass,Pass,Pass,Pass,Pass,Filter,Pass,Pass</t>
  </si>
  <si>
    <t>TGG</t>
  </si>
  <si>
    <t>TCCTTCCCCCACCCCACCGCTGG</t>
  </si>
  <si>
    <t>XX|XX||X|||||||X||X|X||</t>
  </si>
  <si>
    <t>run_mpmat_chr20_58572565_10_CT_308</t>
  </si>
  <si>
    <t>chr20_58572565_CT,chr20_58572566_CT,chr20_58572567_CT,chr20_58572568_CT,chr20_58572569_CT,chr20_58572573_CT,chr20_58572574_CT,chr20_58572575_CT,chr20_58572576_CT,chr20_58572578_CT</t>
  </si>
  <si>
    <t>False,False,False,False,False,False,False,False,False,False</t>
  </si>
  <si>
    <t>Pass,Pass,Pass,Pass,Pass,Pass,Pass,Pass,Pass,Pass</t>
  </si>
  <si>
    <t>CACCCCCTAGCCCCGCCTTCTGG</t>
  </si>
  <si>
    <t>X|||||||XXX|||XX|X||X||</t>
  </si>
  <si>
    <t>run_mpmat_chr3_22466320_12_CT_72</t>
  </si>
  <si>
    <t>False,False,False,False,False,False,False,False,False,False,False,False</t>
  </si>
  <si>
    <t>Pass,Pass,Pass,Pass,Pass,Pass,Pass,Pass,Pass,Pass,Pass,Pass</t>
  </si>
  <si>
    <t>No_PAM_fwd</t>
  </si>
  <si>
    <t>NoPAM</t>
  </si>
  <si>
    <t>CTG</t>
  </si>
  <si>
    <t>TCATCCCTCCACCCCGCTCTCTG</t>
  </si>
  <si>
    <t>XXXX|||||||||||||XXX|X|</t>
  </si>
  <si>
    <t>run_mpmat_chr10_58446395_11_CT_177</t>
  </si>
  <si>
    <t>chr10_58446395_CT,chr10_58446396_CT,chr10_58446398_CT,chr10_58446399_CT,chr10_58446400_CT,chr10_58446402_CT,chr10_58446403_CT,chr10_58446405_CT,chr10_58446406_CT,chr10_58446407_CT,chr10_58446408_CT</t>
  </si>
  <si>
    <t>Pass,Pass,Pass,Pass,Pass,Pass,Pass,Pass,Pass,Filter,Pass</t>
  </si>
  <si>
    <t>AGG</t>
  </si>
  <si>
    <t>TCCACCCTCCACCCCACAATAGG</t>
  </si>
  <si>
    <t>XX|X|||||||||||X|XXXX||</t>
  </si>
  <si>
    <t>run_mpmat_chr17_7244142_16_CT_259</t>
  </si>
  <si>
    <t>chr17_7244142_CT,chr17_7244143_CT,chr17_7244144_CT,chr17_7244148_CT,chr17_7244149_CT,chr17_7244150_CT,chr17_7244151_CT,chr17_7244152_CT,chr17_7244153_CT,chr17_7244154_CT,chr17_7244156_CT,chr17_7244157_CT,chr17_7244158_CT,chr17_7244159_CT,chr17_7244162_CT,chr17_7244164_CT</t>
  </si>
  <si>
    <t>False,False,False,False,False,False,False,False,False,False,False,False,False,False,False,False</t>
  </si>
  <si>
    <t>Pass,Filter,Pass,Pass,Pass,Pass,Pass,Pass,Pass,Pass,Pass,Pass,Pass,Pass,Pass,Pass</t>
  </si>
  <si>
    <t>TTTCCCCCCCACCCCAACTCAGG</t>
  </si>
  <si>
    <t>XXX||||X|||||||XX|||X||</t>
  </si>
  <si>
    <t>VEGFA-off-target-140.4</t>
  </si>
  <si>
    <t>run_mpmat_chr19_18020497_14_GA_610</t>
  </si>
  <si>
    <t>chr19_18020497_GA,chr19_18020501_GA,chr19_18020503_GA,chr19_18020506_GA,chr19_18020507_GA,chr19_18020508_GA,chr19_18020509_GA,chr19_18020511_GA,chr19_18020512_GA,chr19_18020513_GA,chr19_18020514_GA,chr19_18020515_GA,chr19_18020517_GA,chr19_18020518_GA</t>
  </si>
  <si>
    <t>False,False,False,False,False,False,False,False,False,False,False,False,False,False</t>
  </si>
  <si>
    <t>Pass,Pass,Pass,Pass,Pass,Pass,Pass,Pass,Pass,Pass,Pass,Pass,Pass,Pass</t>
  </si>
  <si>
    <t>CCCCACCCCCACCCCATCTCTGG</t>
  </si>
  <si>
    <t>XX||X||X|||||||XX|||X||</t>
  </si>
  <si>
    <t>VEGFA-off-target-141.4</t>
  </si>
  <si>
    <t>run_mpmat_chr1_16189904_13_CT_10</t>
  </si>
  <si>
    <t>chr1_16189904_CT,chr1_16189905_CT,chr1_16189909_CT,chr1_16189910_CT,chr1_16189911_CT,chr1_16189913_CT,chr1_16189914_CT,chr1_16189916_CT,chr1_16189917_CT,chr1_16189918_CT,chr1_16189919_CT,chr1_16189921_CT,chr1_16189922_CT</t>
  </si>
  <si>
    <t>Pass,Pass,Pass,Pass,Pass,Pass,Pass,Pass,Pass,Pass,Pass,Filter,Pass</t>
  </si>
  <si>
    <t>CAGACCCTCCACCCCACCATACTGG</t>
  </si>
  <si>
    <t>X|XX|||||||||||X||--X|X||</t>
  </si>
  <si>
    <t>GACCCCCTCCACCCCGCC--TCCGG</t>
  </si>
  <si>
    <t>run_mpmat_chr1_10866167_10_GA_336</t>
  </si>
  <si>
    <t>chr1_10866167_GA,chr1_10866169_GA,chr1_10866170_GA,chr1_10866171_GA,chr1_10866172_GA,chr1_10866174_GA,chr1_10866175_GA,chr1_10866176_GA,chr1_10866177_GA,chr1_10866178_GA</t>
  </si>
  <si>
    <t>GAG</t>
  </si>
  <si>
    <t>GACTCCAGACGGCCCAGCCCGAG</t>
  </si>
  <si>
    <t>|||X||XXX|XX|||XX|X|XX|</t>
  </si>
  <si>
    <t>run_mpmat_chr2_220671112_12_GA_387</t>
  </si>
  <si>
    <t>chr2_220671112_GA,chr2_220671114_GA,chr2_220671115_GA,chr2_220671116_GA,chr2_220671117_GA,chr2_220671119_GA,chr2_220671120_GA,chr2_220671121_GA,chr2_220671122_GA,chr2_220671123_GA,chr2_220671124_GA,chr2_220671125_GA</t>
  </si>
  <si>
    <t>ACACCCCCCCACCCCACCCCAGG</t>
  </si>
  <si>
    <t>XXX||||X|||||||X||X|X||</t>
  </si>
  <si>
    <t>VEGFA-off-target-85.23</t>
  </si>
  <si>
    <t>run_mpmat_chr7_958201_13_CT_124</t>
  </si>
  <si>
    <t>chr7_958201_CT,chr7_958203_CT,chr7_958206_CT,chr7_958207_CT,chr7_958208_CT,chr7_958210_CT,chr7_958212_CT,chr7_958213_CT,chr7_958215_CT,chr7_958216_CT,chr7_958217_CT,chr7_958218_CT,chr7_958220_CT</t>
  </si>
  <si>
    <t>Pass,Filter,Pass,Pass,Pass,Pass,Pass,Pass,Pass,Pass,Pass,Pass,Pass</t>
  </si>
  <si>
    <t>GGG</t>
  </si>
  <si>
    <t>TTCCCTCTCCACCCCGCACAGGG</t>
  </si>
  <si>
    <t>XX|||X|||||||||||XXXX||</t>
  </si>
  <si>
    <t>run_mpmat_chr1_34825688_11_CT_13</t>
  </si>
  <si>
    <t>chr1_34825688_CT,chr1_34825689_CT,chr1_34825690_CT,chr1_34825691_CT,chr1_34825693_CT,chr1_34825695_CT,chr1_34825696_CT,chr1_34825698_CT,chr1_34825699_CT,chr1_34825700_CT,chr1_34825701_CT</t>
  </si>
  <si>
    <t>Pass,Pass,Pass,Pass,Pass,Pass,Pass,Pass,Pass,Pass,Pass</t>
  </si>
  <si>
    <t>ACCCCACTCCACCCCATCACTGG</t>
  </si>
  <si>
    <t>XX|||X|||||||||XX|X|X||</t>
  </si>
  <si>
    <t>run_mpmat_chr10_59982224_11_GA_490</t>
  </si>
  <si>
    <t>chr10_59982224_GA,chr10_59982225_GA,chr10_59982226_GA,chr10_59982227_GA,chr10_59982228_GA,chr10_59982230_GA,chr10_59982231_GA,chr10_59982233_GA,chr10_59982234_GA,chr10_59982235_GA,chr10_59982236_GA</t>
  </si>
  <si>
    <t>Pass,Pass,Filter,Pass,Pass,Pass,Pass,Pass,Pass,Pass,Pass</t>
  </si>
  <si>
    <t>CCTCCCCTCCACCCCCGCCCCAG</t>
  </si>
  <si>
    <t>XXX||||||||||||XX|X||X|</t>
  </si>
  <si>
    <t>run_mpmat_chr16_1918753_11_CT_242</t>
  </si>
  <si>
    <t>chr16_1918753_CT,chr16_1918754_CT,chr16_1918755_CT,chr16_1918756_CT,chr16_1918757_CT,chr16_1918758_CT,chr16_1918759_CT,chr16_1918760_CT,chr16_1918762_CT,chr16_1918763_CT,chr16_1918764_CT</t>
  </si>
  <si>
    <t>TTCCCCCCCCACCCCACTCCGGG</t>
  </si>
  <si>
    <t>XX|||||X|||||||X|XX|X||</t>
  </si>
  <si>
    <t>run_mpmat_chr22_31125333_14_CT_319</t>
  </si>
  <si>
    <t>chr22_31125333_CT,chr22_31125334_CT,chr22_31125335_CT,chr22_31125336_CT,chr22_31125338_CT,chr22_31125339_CT,chr22_31125341_CT,chr22_31125342_CT,chr22_31125343_CT,chr22_31125344_CT,chr22_31125347_CT,chr22_31125348_CT,chr22_31125349_CT,chr22_31125350_CT</t>
  </si>
  <si>
    <t>Pass,Pass,Pass,Pass,Pass,Pass,Pass,Pass,Pass,Pass,Pass,Filter,Filter,Pass</t>
  </si>
  <si>
    <t>ACTCCCCTCCACCCCTTCCCCGG</t>
  </si>
  <si>
    <t>XXX||||||||||||XX|X||||</t>
  </si>
  <si>
    <t>run_mpmat_chr9_133559076_10_GA_483</t>
  </si>
  <si>
    <t>chr9_133559076_GA,chr9_133559078_GA,chr9_133559079_GA,chr9_133559080_GA,chr9_133559081_GA,chr9_133559083_GA,chr9_133559084_GA,chr9_133559086_GA,chr9_133559087_GA,chr9_133559088_GA</t>
  </si>
  <si>
    <t>ATGCCCCTCCACCCCACCCATGG</t>
  </si>
  <si>
    <t>XXX||||||||||||X||XXX||</t>
  </si>
  <si>
    <t>run_mpmat_chr2_169967233_8_CT_67</t>
  </si>
  <si>
    <t>chr2_169967233_CT,chr2_169967234_CT,chr2_169967235_CT,chr2_169967236_CT,chr2_169967237_CT,chr2_169967238_CT,chr2_169967240_CT,chr2_169967241_CT</t>
  </si>
  <si>
    <t>TGCCCCCCCCACCCCCCTACAGG</t>
  </si>
  <si>
    <t>run_mpmat_chr7_139232070_9_GA_463</t>
  </si>
  <si>
    <t>chr7_139232070_GA,chr7_139232071_GA,chr7_139232072_GA,chr7_139232074_GA,chr7_139232076_GA,chr7_139232077_GA,chr7_139232078_GA,chr7_139232079_GA,chr7_139232080_GA</t>
  </si>
  <si>
    <t>False,False,False,False,False,False,False,False,False</t>
  </si>
  <si>
    <t>Pass,Pass,Pass,Filter,Pass,Pass,Pass,Pass,Pass</t>
  </si>
  <si>
    <t>GGCCCCCCGCACCCCACCCTCGG</t>
  </si>
  <si>
    <t>|X|||||XX||||||X||XX|||</t>
  </si>
  <si>
    <t>run_mpmat_chrX_25020865_11_GA_640</t>
  </si>
  <si>
    <t>chrX_25020865_GA,chrX_25020866_GA,chrX_25020867_GA,chrX_25020868_GA,chrX_25020870_GA,chrX_25020871_GA,chrX_25020873_GA,chrX_25020874_GA,chrX_25020875_GA,chrX_25020877_GA,chrX_25020878_GA</t>
  </si>
  <si>
    <t>CCCACCCTCCACCCCGTCCAGGG</t>
  </si>
  <si>
    <t>XX|X||||||||||||X|XXX||</t>
  </si>
  <si>
    <t>run_mpmat_chr17_7012400_12_GA_571</t>
  </si>
  <si>
    <t>chr17_7012400_GA,chr17_7012402_GA,chr17_7012403_GA,chr17_7012404_GA,chr17_7012405_GA,chr17_7012406_GA,chr17_7012407_GA,chr17_7012409_GA,chr17_7012410_GA,chr17_7012411_GA,chr17_7012412_GA,chr17_7012413_GA</t>
  </si>
  <si>
    <t>GTCCCCCTCCCCCCGCACACGGG</t>
  </si>
  <si>
    <t>|X||||||||X|||XXX|X|X||</t>
  </si>
  <si>
    <t>run_mpmat_chr16_3150217_7_CT_245</t>
  </si>
  <si>
    <t>chr16_3150217_CT,chr16_3150218_CT,chr16_3150220_CT,chr16_3150221_CT,chr16_3150223_CT,chr16_3150224_CT,chr16_3150225_CT</t>
  </si>
  <si>
    <t>False,False,False,False,False,False,False</t>
  </si>
  <si>
    <t>Pass,Filter,Pass,Pass,Pass,Filter,Pass</t>
  </si>
  <si>
    <t>CCCCACCTCCACCCCGCGCTGGG</t>
  </si>
  <si>
    <t>XX||X||||||||||||XXXX||</t>
  </si>
  <si>
    <t>run_mpmat_chr10_110567851_4_CT_182</t>
  </si>
  <si>
    <t>chr10_110567851_CT,chr10_110567852_CT,chr10_110567854_CT,chr10_110567855_CT</t>
  </si>
  <si>
    <t>False,False,False,False</t>
  </si>
  <si>
    <t>Pass,Pass,Filter,Pass</t>
  </si>
  <si>
    <t>GCGTCCCTCCACCCCGTCATGGG</t>
  </si>
  <si>
    <t>|XXX||||||||||||X|XXX||</t>
  </si>
  <si>
    <t>run_mpmat_chr6_2634125_10_CT_111</t>
  </si>
  <si>
    <t>chr6_2634125_CT,chr6_2634133_CT,chr6_2634134_CT,chr6_2634135_CT,chr6_2634136_CT,chr6_2634138_CT,chr6_2634139_CT,chr6_2634141_CT,chr6_2634142_CT,chr6_2634143_CT</t>
  </si>
  <si>
    <t>Pass,Pass,Pass,Pass,Pass,Pass,Pass,Pass,Filter,Pass</t>
  </si>
  <si>
    <t>TGTCCCCTCCGCCCCGCTCAGGG</t>
  </si>
  <si>
    <t>XXX|||||||X||||||XXXX||</t>
  </si>
  <si>
    <t>run_mpmat_chr1_23435743_18_GA_339</t>
  </si>
  <si>
    <t>False,False,False,False,False,False,False,False,False,False,False,False,False,False,False,False,False,False</t>
  </si>
  <si>
    <t>Pass,Pass,Pass,Pass,Pass,Pass,Pass,Pass,Pass,Pass,Pass,Pass,Pass,Pass,Pass,Pass,Pass,Pass</t>
  </si>
  <si>
    <t>No_PAM_rev</t>
  </si>
  <si>
    <t>GTG</t>
  </si>
  <si>
    <t>ACTCCCCTCCACCCCACCTCTGA</t>
  </si>
  <si>
    <t>XXX||||||||||||X||||X|X</t>
  </si>
  <si>
    <t>run_mpmat_chr6_36075278_11_CT_116</t>
  </si>
  <si>
    <t>chr6_36075278_CT,chr6_36075281_CT,chr6_36075282_CT,chr6_36075283_CT,chr6_36075284_CT,chr6_36075286_CT,chr6_36075287_CT,chr6_36075289_CT,chr6_36075290_CT,chr6_36075291_CT,chr6_36075292_CT</t>
  </si>
  <si>
    <t>Pass,Pass,Pass,Pass,Pass,Pass,Pass,Pass,Filter,Filter,Pass</t>
  </si>
  <si>
    <t>CTACCCCTCCACCCCTAACTCTGG</t>
  </si>
  <si>
    <t>XXX||||||||||||-XX|||X||</t>
  </si>
  <si>
    <t>GACCCCCTCCACCCC-GCCTCCGG</t>
  </si>
  <si>
    <t>run_mpmat_chr17_77130218_14_GA_593</t>
  </si>
  <si>
    <t>chr17_77130218_GA,chr17_77130220_GA,chr17_77130221_GA,chr17_77130222_GA,chr17_77130223_GA,chr17_77130225_GA,chr17_77130226_GA,chr17_77130228_GA,chr17_77130229_GA,chr17_77130230_GA,chr17_77130231_GA,chr17_77130233_GA,chr17_77130234_GA,chr17_77130236_GA</t>
  </si>
  <si>
    <t>Pass,Pass,Pass,Filter,Pass,Pass,Pass,Pass,Pass,Pass,Pass,Pass,Pass,Pass</t>
  </si>
  <si>
    <t>CCACCCCTCCACCCC-ACACTGG</t>
  </si>
  <si>
    <t>XXX||||||||||||-X|X|X||</t>
  </si>
  <si>
    <t>run_mpmat_chr6_110199810_15_CT_121</t>
  </si>
  <si>
    <t>False,False,False,False,False,False,False,False,False,False,False,False,False,False,False</t>
  </si>
  <si>
    <t>Pass,Pass,Pass,Pass,Pass,Pass,Pass,Pass,Pass,Pass,Pass,Pass,Pass,Pass,Pass</t>
  </si>
  <si>
    <t>TGA</t>
  </si>
  <si>
    <t>TGCCCCCTCCACCCCACCTCTGA</t>
  </si>
  <si>
    <t>XX|||||||||||||X||||X|X</t>
  </si>
  <si>
    <t>run_mpmat_chr17_48026500_4_GA_583</t>
  </si>
  <si>
    <t>chr17_48026500_GA,chr17_48026502_GA,chr17_48026504_GA,chr17_48026509_GA</t>
  </si>
  <si>
    <t>Pass,Pass,Pass,Pass</t>
  </si>
  <si>
    <t>AACCTCCCCCACCCCACCCCAGG</t>
  </si>
  <si>
    <t>X|||X||X|||||||X||X|X||</t>
  </si>
  <si>
    <t>run_mpmat_chr22_50601549_8_GA_638</t>
  </si>
  <si>
    <t>chr22_50601549_GA,chr22_50601550_GA,chr22_50601551_GA,chr22_50601552_GA,chr22_50601554_GA,chr22_50601555_GA,chr22_50601556_GA,chr22_50601558_GA</t>
  </si>
  <si>
    <t>CACCCCTCCCACCCCGCCTCCCTGG</t>
  </si>
  <si>
    <t>X|||||XX|||||||||||--|X||</t>
  </si>
  <si>
    <t>GACCCCCTCCACCCCGCCT--CCGG</t>
  </si>
  <si>
    <t>AGAGAGGGGACATGAATCAGGA</t>
  </si>
  <si>
    <t>GTCACAAGCATCGGATTTCCTT</t>
  </si>
  <si>
    <t>CCTTCACCCCGTCACCCT</t>
  </si>
  <si>
    <t>GCCGGGAACTCGAACTTAGGTA</t>
  </si>
  <si>
    <t>CAGGAAAAGGAGGGAAGGCTC</t>
  </si>
  <si>
    <t>CCGTCTGCATTTTTCAATCCCT</t>
  </si>
  <si>
    <t>TTCATCACAAAGGGTGGTATCCAG</t>
  </si>
  <si>
    <t>CCCTGTCTGGAGTTGACAGGAA</t>
  </si>
  <si>
    <t>GTCTTTTACTGTGACTCAGCGA</t>
  </si>
  <si>
    <t>GGAACAGATGAGCTTAACTAAAAA</t>
  </si>
  <si>
    <t>GATTCGCCCCCACTAATGACTC</t>
  </si>
  <si>
    <t>GACTGTGAGGGAAGCGATGG</t>
  </si>
  <si>
    <t>TCTCCACTCCAACAACAACAGG</t>
  </si>
  <si>
    <t>CTGTCCATGCTTATCAGTGCCT</t>
  </si>
  <si>
    <t>GGCCACTGTTCAGGAATCCTC</t>
  </si>
  <si>
    <t>GGACAAGCTGTCCTGTAACTGG</t>
  </si>
  <si>
    <t>TTATTTCTAGCGCTGTTTCCTG</t>
  </si>
  <si>
    <t>GGTATTCCTAGCAAAGTACAATGA</t>
  </si>
  <si>
    <t>AGGCTAGTTCCTCGTCACGT</t>
  </si>
  <si>
    <t>CGCCGTCTGAAACCAAAACTG</t>
  </si>
  <si>
    <t>CTCTGCTTCCAAGTCCCACC</t>
  </si>
  <si>
    <t>AAAAAAAGAGCGGCCCAGTG</t>
  </si>
  <si>
    <t>GAGCCTTGAATCCACAGCCTTC</t>
  </si>
  <si>
    <t>GCCGCGTTTAAGCCAAGTG</t>
  </si>
  <si>
    <t>No</t>
    <phoneticPr fontId="2" type="noConversion"/>
  </si>
  <si>
    <t>veg2-dis-1</t>
    <phoneticPr fontId="2" type="noConversion"/>
  </si>
  <si>
    <t>veg2-dis-2</t>
  </si>
  <si>
    <t>veg2-dis-3</t>
  </si>
  <si>
    <t>veg2-dis-4</t>
  </si>
  <si>
    <t>veg2-dis-5</t>
  </si>
  <si>
    <t>veg2-dis-6</t>
  </si>
  <si>
    <t>veg2-dis-7</t>
  </si>
  <si>
    <t>veg2-dis-8</t>
  </si>
  <si>
    <t>veg2-dis-9</t>
  </si>
  <si>
    <t>veg2-dis-10</t>
  </si>
  <si>
    <t>veg2-dis-11</t>
  </si>
  <si>
    <t>veg2-dis-12</t>
  </si>
  <si>
    <t>veg2-offNOgdNO-16_HTSfwd</t>
    <phoneticPr fontId="2" type="noConversion"/>
  </si>
  <si>
    <t>veg2-dis-1_HTSfwd</t>
    <phoneticPr fontId="2" type="noConversion"/>
  </si>
  <si>
    <t>veg2-dis-1_HTSrev</t>
    <phoneticPr fontId="2" type="noConversion"/>
  </si>
  <si>
    <t>veg2-dis-2_HTSfwd</t>
  </si>
  <si>
    <t>veg2-dis-2_HTSrev</t>
  </si>
  <si>
    <t>veg2-dis-3_HTSfwd</t>
  </si>
  <si>
    <t>veg2-dis-3_HTSrev</t>
  </si>
  <si>
    <t>veg2-dis-4_HTSfwd</t>
  </si>
  <si>
    <t>veg2-dis-4_HTSrev</t>
  </si>
  <si>
    <t>veg2-dis-5_HTSfwd</t>
  </si>
  <si>
    <t>veg2-dis-5_HTSrev</t>
  </si>
  <si>
    <t>veg2-dis-6_HTSfwd</t>
  </si>
  <si>
    <t>veg2-dis-6_HTSrev</t>
  </si>
  <si>
    <t>veg2-dis-7_HTSfwd</t>
  </si>
  <si>
    <t>veg2-dis-7_HTSrev</t>
  </si>
  <si>
    <t>veg2-dis-8_HTSfwd</t>
  </si>
  <si>
    <t>veg2-dis-8_HTSrev</t>
  </si>
  <si>
    <t>veg2-dis-9_HTSfwd</t>
  </si>
  <si>
    <t>veg2-dis-9_HTSrev</t>
  </si>
  <si>
    <t>veg2-dis-10_HTSfwd</t>
  </si>
  <si>
    <t>veg2-dis-10_HTSrev</t>
  </si>
  <si>
    <t>veg2-dis-11_HTSfwd</t>
  </si>
  <si>
    <t>veg2-dis-11_HTSrev</t>
  </si>
  <si>
    <t>veg2-dis-12_HTSfwd</t>
  </si>
  <si>
    <t>veg2-dis-12_HTSrev</t>
  </si>
  <si>
    <t>ACACTCTTTCCCTACACGACGCTCTTCCGATCTNNNNAGAGAGGGGACATGAATCAGGA</t>
    <phoneticPr fontId="2" type="noConversion"/>
  </si>
  <si>
    <t>TGGAGTTCAGACGTGTGCTCTTCCGATCTNNNNNNGTCACAAGCATCGGATTTCCTT</t>
    <phoneticPr fontId="2" type="noConversion"/>
  </si>
  <si>
    <t>ACACTCTTTCCCTACACGACGCTCTTCCGATCTNNNNCCTTCACCCCGTCACCCT</t>
    <phoneticPr fontId="2" type="noConversion"/>
  </si>
  <si>
    <t>TGGAGTTCAGACGTGTGCTCTTCCGATCTNNNNNNGCCGGGAACTCGAACTTAGGTA</t>
    <phoneticPr fontId="2" type="noConversion"/>
  </si>
  <si>
    <t>ACACTCTTTCCCTACACGACGCTCTTCCGATCTNNNNCAGGAAAAGGAGGGAAGGCTC</t>
    <phoneticPr fontId="2" type="noConversion"/>
  </si>
  <si>
    <t>TGGAGTTCAGACGTGTGCTCTTCCGATCTNNNNNNCCGTCTGCATTTTTCAATCCCT</t>
    <phoneticPr fontId="2" type="noConversion"/>
  </si>
  <si>
    <t>TGGAGTTCAGACGTGTGCTCTTCCGATCTNNNNNNTTCATCACAAAGGGTGGTATCCAG</t>
    <phoneticPr fontId="2" type="noConversion"/>
  </si>
  <si>
    <t>ACACTCTTTCCCTACACGACGCTCTTCCGATCTNNNNCCCTGTCTGGAGTTGACAGGAA</t>
    <phoneticPr fontId="2" type="noConversion"/>
  </si>
  <si>
    <t>ACACTCTTTCCCTACACGACGCTCTTCCGATCTNNNNGTCTTTTACTGTGACTCAGCGA</t>
    <phoneticPr fontId="2" type="noConversion"/>
  </si>
  <si>
    <t>TGGAGTTCAGACGTGTGCTCTTCCGATCTNNNNNNGGAACAGATGAGCTTAACTAAAAA</t>
    <phoneticPr fontId="2" type="noConversion"/>
  </si>
  <si>
    <t>ACACTCTTTCCCTACACGACGCTCTTCCGATCTNNNNGATTCGCCCCCACTAATGACTC</t>
    <phoneticPr fontId="2" type="noConversion"/>
  </si>
  <si>
    <t>TGGAGTTCAGACGTGTGCTCTTCCGATCTNNNNNNGACTGTGAGGGAAGCGATGG</t>
    <phoneticPr fontId="2" type="noConversion"/>
  </si>
  <si>
    <t>ACACTCTTTCCCTACACGACGCTCTTCCGATCTNNNNGGCCACTGTTCAGGAATCCTC</t>
    <phoneticPr fontId="2" type="noConversion"/>
  </si>
  <si>
    <t>TGGAGTTCAGACGTGTGCTCTTCCGATCTNNNNNNGGACAAGCTGTCCTGTAACTGG</t>
    <phoneticPr fontId="2" type="noConversion"/>
  </si>
  <si>
    <t>ACACTCTTTCCCTACACGACGCTCTTCCGATCTNNNNTCTCCACTCCAACAACAACAGG</t>
    <phoneticPr fontId="2" type="noConversion"/>
  </si>
  <si>
    <t>TGGAGTTCAGACGTGTGCTCTTCCGATCTNNNNNNCTGTCCATGCTTATCAGTGCCT</t>
    <phoneticPr fontId="2" type="noConversion"/>
  </si>
  <si>
    <t>ACACTCTTTCCCTACACGACGCTCTTCCGATCTNNNNTTATTTCTAGCGCTGTTTCCTG</t>
    <phoneticPr fontId="2" type="noConversion"/>
  </si>
  <si>
    <t>TGGAGTTCAGACGTGTGCTCTTCCGATCTNNNNNNGGTATTCCTAGCAAAGTACAATGA</t>
    <phoneticPr fontId="2" type="noConversion"/>
  </si>
  <si>
    <t>ACACTCTTTCCCTACACGACGCTCTTCCGATCTNNNNAGGCTAGTTCCTCGTCACGT</t>
    <phoneticPr fontId="2" type="noConversion"/>
  </si>
  <si>
    <t>TGGAGTTCAGACGTGTGCTCTTCCGATCTNNNNNNCGCCGTCTGAAACCAAAACTG</t>
    <phoneticPr fontId="2" type="noConversion"/>
  </si>
  <si>
    <t>ACACTCTTTCCCTACACGACGCTCTTCCGATCTNNNNAAAAAAAGAGCGGCCCAGTG</t>
    <phoneticPr fontId="2" type="noConversion"/>
  </si>
  <si>
    <t>TGGAGTTCAGACGTGTGCTCTTCCGATCTNNNNNNCTCTGCTTCCAAGTCCCACC</t>
    <phoneticPr fontId="2" type="noConversion"/>
  </si>
  <si>
    <t>ACACTCTTTCCCTACACGACGCTCTTCCGATCTNNNNGAGCCTTGAATCCACAGCCTTC</t>
    <phoneticPr fontId="2" type="noConversion"/>
  </si>
  <si>
    <t>TGGAGTTCAGACGTGTGCTCTTCCGATCTNNNNNNGCCGCGTTTAAGCCAAGTG</t>
    <phoneticPr fontId="2" type="noConversion"/>
  </si>
  <si>
    <t>chr1</t>
    <phoneticPr fontId="2" type="noConversion"/>
  </si>
  <si>
    <t>GTGCCTGCACTACTATCCAA</t>
  </si>
  <si>
    <t>veg2-dis-14_HTSrev</t>
  </si>
  <si>
    <t>GCTATAAATCATTCAATGCCAGCA</t>
  </si>
  <si>
    <t>veg2-dis-14_HTSfwd</t>
  </si>
  <si>
    <t>AAGACGTGGAAAGTTGGCC</t>
  </si>
  <si>
    <t>veg2-dis-13_HTSrev</t>
  </si>
  <si>
    <t>ACAACCAGGAATTTCAGTTCAAGA</t>
  </si>
  <si>
    <t>veg2-dis-13_HTSfwd</t>
  </si>
  <si>
    <t>TTGGGGTGGAGTGTAGCTGATT</t>
  </si>
  <si>
    <t>hek4-dis-6_HTSrev</t>
  </si>
  <si>
    <t>ACTCAAGGGTACTGGAGATTTCGG</t>
  </si>
  <si>
    <t>hek4-dis-6_HTSfwd</t>
  </si>
  <si>
    <t>CGTGGGGAGAGATAGTGTTGAA</t>
  </si>
  <si>
    <t>hek4-dis-5p_HTSrev</t>
    <phoneticPr fontId="2" type="noConversion"/>
  </si>
  <si>
    <t>ACAACAAATGGGACTGAGTGGG</t>
  </si>
  <si>
    <t>hek4-dis-5p_HTSfwd</t>
    <phoneticPr fontId="2" type="noConversion"/>
  </si>
  <si>
    <t>GTTAGCGGCCTTGGAGAATACT</t>
  </si>
  <si>
    <t>hek4-dis-5_HTSrev</t>
  </si>
  <si>
    <t>ACACTATCTCTCCCCACGCTAT</t>
  </si>
  <si>
    <t>hek4-dis-5_HTSfwd</t>
  </si>
  <si>
    <t>veg2-dis-14</t>
  </si>
  <si>
    <t>CATCCACAAGACCACCTCCC</t>
  </si>
  <si>
    <t>hek4-dis-4_HTSrev</t>
  </si>
  <si>
    <t>veg2-dis-13</t>
    <phoneticPr fontId="2" type="noConversion"/>
  </si>
  <si>
    <t>CGCGCTTTGGGAGTACTGAG</t>
  </si>
  <si>
    <t>hek4-dis-4_HTSfwd</t>
  </si>
  <si>
    <t>AGGGTACTTTTTCCCTGGTCC</t>
  </si>
  <si>
    <t>hek4-dis-3_HTSrev</t>
  </si>
  <si>
    <t>hek4-dis-6</t>
  </si>
  <si>
    <t>AATGGGAGCATAGTGTTAAGTTCA</t>
  </si>
  <si>
    <t>hek4-dis-3_HTSfwd</t>
  </si>
  <si>
    <t>hek4-dis-5p</t>
    <phoneticPr fontId="2" type="noConversion"/>
  </si>
  <si>
    <t>TCAGTGACAAGCCAAATACAAGT</t>
  </si>
  <si>
    <t>hek4-dis-2_HTSrev</t>
  </si>
  <si>
    <t>hek4-dis-5</t>
  </si>
  <si>
    <t>TTCTGAGCCTGGTGTGAAGAAA</t>
  </si>
  <si>
    <t>hek4-dis-2_HTSfwd</t>
  </si>
  <si>
    <t>hek4-dis-4</t>
  </si>
  <si>
    <t>GTAAGTGAAATTTGCCCTAAGGAA</t>
  </si>
  <si>
    <t>hek4-dis-1_HTSrev</t>
    <phoneticPr fontId="2" type="noConversion"/>
  </si>
  <si>
    <t>TTAGTAGCTTCCCTGAAAACCA</t>
  </si>
  <si>
    <t>hek4-dis-1_HTSfwd</t>
    <phoneticPr fontId="2" type="noConversion"/>
  </si>
  <si>
    <t>hek4-dis-3</t>
  </si>
  <si>
    <t>TGCCTTTCATGCCCTAGTGATT</t>
  </si>
  <si>
    <t>hek4-dis-2</t>
  </si>
  <si>
    <t>GAGCCAATGTGAGTCAGGTGAA</t>
  </si>
  <si>
    <t>emx1-dis-3_HTSfwd</t>
  </si>
  <si>
    <t>hek4-dis-1</t>
    <phoneticPr fontId="2" type="noConversion"/>
  </si>
  <si>
    <t>TGTCACATACTCATTCCTCAACCA</t>
  </si>
  <si>
    <t>TTGAGTACGTGTTAGGGATGGG</t>
  </si>
  <si>
    <t>emx1-dis-2_HTSfwd</t>
  </si>
  <si>
    <t>emx1-dis-3</t>
  </si>
  <si>
    <t>CTCCTAATCTGGTGCTCTTCCC</t>
  </si>
  <si>
    <t>emx1-dis-2</t>
  </si>
  <si>
    <t>AATACGACTTCCCACATCAGGA</t>
  </si>
  <si>
    <t>emx1-dis-1_HTSfwd</t>
    <phoneticPr fontId="2" type="noConversion"/>
  </si>
  <si>
    <t>emx1-dis-1</t>
    <phoneticPr fontId="2" type="noConversion"/>
  </si>
  <si>
    <t>amplicon_length</t>
    <phoneticPr fontId="2" type="noConversion"/>
  </si>
  <si>
    <t>amplicon_down</t>
    <phoneticPr fontId="2" type="noConversion"/>
  </si>
  <si>
    <t>amplicon_up</t>
    <phoneticPr fontId="2" type="noConversion"/>
  </si>
  <si>
    <t>seed_region&gt;=4</t>
    <phoneticPr fontId="2" type="noConversion"/>
  </si>
  <si>
    <t>-</t>
    <phoneticPr fontId="2" type="noConversion"/>
  </si>
  <si>
    <t>Y</t>
    <phoneticPr fontId="2" type="noConversion"/>
  </si>
  <si>
    <t>VEGFA-OffNo_GDNo-02</t>
  </si>
  <si>
    <t>293T.VEGFA</t>
  </si>
  <si>
    <t>VEGFA_chr3_22466320_17_CT_45</t>
  </si>
  <si>
    <t>51-57</t>
    <phoneticPr fontId="2" type="noConversion"/>
  </si>
  <si>
    <t>NA</t>
  </si>
  <si>
    <t>VEGFA_chr20_58572565_10_CT_163</t>
  </si>
  <si>
    <t>需要根据2snp区分chr20</t>
    <phoneticPr fontId="2" type="noConversion"/>
  </si>
  <si>
    <t>112-101</t>
    <phoneticPr fontId="2" type="noConversion"/>
  </si>
  <si>
    <t>||XX||||XXX|||XXX|||X||</t>
  </si>
  <si>
    <t>GAAGCCCTAACCCCGCGCTCTGG</t>
  </si>
  <si>
    <t>VEGFA_chr18_14132373_16_CT_151</t>
  </si>
  <si>
    <t>94-51</t>
    <phoneticPr fontId="2" type="noConversion"/>
  </si>
  <si>
    <t>XX||X||X||X|X||X|||X|X|</t>
  </si>
  <si>
    <t>CCCCTCCACCCCACCTCCTGCAG</t>
  </si>
  <si>
    <t>VEGFA_chr11_86488541_18_CT_111</t>
  </si>
  <si>
    <t>29-36</t>
  </si>
  <si>
    <t>Y</t>
  </si>
  <si>
    <t>GGCACTGCGGCTGGAGGTGGGGG</t>
  </si>
  <si>
    <t>||||||X|X||||||---||X||</t>
  </si>
  <si>
    <t>GGCACTACAGCTGGA---GGTGG</t>
  </si>
  <si>
    <t>293T.HEK4</t>
  </si>
  <si>
    <t>HEK4_chr1_160046601_3_GA_110</t>
  </si>
  <si>
    <t>another_GA_uncalled</t>
    <phoneticPr fontId="2" type="noConversion"/>
  </si>
  <si>
    <t>132-158</t>
  </si>
  <si>
    <t>downstream</t>
  </si>
  <si>
    <t>||XXX|XXXXXX|||||XX||||</t>
  </si>
  <si>
    <t>GGGCTTCTCTAAGGAGGACGGGG</t>
  </si>
  <si>
    <t>HEK4_chr14_101478878_5_GA_187</t>
  </si>
  <si>
    <t>another</t>
    <phoneticPr fontId="2" type="noConversion"/>
  </si>
  <si>
    <t>||X|||||XX|||||||||||||</t>
  </si>
  <si>
    <t>GGGACTGCAACTGGAGGTGGGGG</t>
  </si>
  <si>
    <t>HEK4_chr14_101478718_6_CT_68</t>
  </si>
  <si>
    <t>||XX||||X|||||||||||X||</t>
  </si>
  <si>
    <t>GGTCCTGCAGCTGGAGGTGGAGG</t>
  </si>
  <si>
    <t>HEK4_chr17_81537165_4_CT_86</t>
  </si>
  <si>
    <t>368-368</t>
  </si>
  <si>
    <t>|X|X||X|X||X|XX|XX||X||</t>
  </si>
  <si>
    <t>GTCTCTCCCGCAGCTGTGGGTGG</t>
  </si>
  <si>
    <t>HEK4_chr17_81537121_5_CT_85</t>
  </si>
  <si>
    <t>114-165</t>
  </si>
  <si>
    <t>yy</t>
    <phoneticPr fontId="2" type="noConversion"/>
  </si>
  <si>
    <t>|||X||X|||||XXXXXX|XX|X</t>
  </si>
  <si>
    <t>GGCTCTCCGGCTATGACAGCAGA</t>
  </si>
  <si>
    <t>HEK4_chr14_69812503_6_GA_186</t>
  </si>
  <si>
    <t>|XXX||||XX|||||||X||X||</t>
  </si>
  <si>
    <t>GTTTCTGCAACTGGAGGAGGTGG</t>
  </si>
  <si>
    <t>HEK4_chr14_69812471_4_GA_185</t>
  </si>
  <si>
    <t>X|||||||X|X||||||X||X||</t>
  </si>
  <si>
    <t>AGCACTGCAGATGGAGGAGGCGG</t>
  </si>
  <si>
    <t>HEK4_chr20_61505465_6_CT_96</t>
  </si>
  <si>
    <t>124-104</t>
  </si>
  <si>
    <t>XXX|X|XXXX|||X||X|||X||</t>
  </si>
  <si>
    <t>CAAATTAGCACTGCAGATGGAGG</t>
  </si>
  <si>
    <t>HEK4_chr20_61505442_3_CT_95</t>
  </si>
  <si>
    <t>195-265</t>
  </si>
  <si>
    <t>X||X||X||XX|||X|X|XXX||</t>
  </si>
  <si>
    <t>TGCCCTCCGTGTGGTGATTCAGG</t>
  </si>
  <si>
    <t>HEK4_chr6_36668831_6_GA_148</t>
  </si>
  <si>
    <t>XXX|||||X|||||||||X||||</t>
  </si>
  <si>
    <t>CTGACTGCAGCTGGAGGTAGGGG</t>
  </si>
  <si>
    <t>HEK4_chr6_36668785_15_GA_147</t>
  </si>
  <si>
    <t>95-93</t>
  </si>
  <si>
    <t>|X|||XXX|XXXX|X|X|XXX||</t>
  </si>
  <si>
    <t>GACACCTGGAAAAGTGCTACTGG</t>
  </si>
  <si>
    <t>HEK4_chr7_28181758_4_GA_152</t>
  </si>
  <si>
    <t>XXX|||||XX|||||||X|||||</t>
  </si>
  <si>
    <t>ATGACTGCAACTGGAGGAGGGGG</t>
  </si>
  <si>
    <t>HEK4_chr7_28181705_5_GA_151</t>
  </si>
  <si>
    <t>GAGTCCGAGCAGA-AGAAGAAGGG</t>
  </si>
  <si>
    <t>XXX||||X||X||-X|X||X||||</t>
  </si>
  <si>
    <t>TCCTCCGTGCTGACTGGAGGAGGG</t>
  </si>
  <si>
    <t>293T.EMX1</t>
  </si>
  <si>
    <t>EMX1_chr1_151055181_9_GA_24</t>
  </si>
  <si>
    <t>XXX|||X||||||||||||||X|</t>
  </si>
  <si>
    <t>TTCTCCAAGCAGAAGAAGAAGAG</t>
  </si>
  <si>
    <t>EMX1_chr1_151055129_10_GA_23</t>
  </si>
  <si>
    <t>X|||||XX||||||||X||||||</t>
  </si>
  <si>
    <t>AAGTCCATGCAGAAGAGGAAGGG</t>
  </si>
  <si>
    <t>EMX1_chr12_106252279_8_CT_15</t>
  </si>
  <si>
    <t>y</t>
    <phoneticPr fontId="2" type="noConversion"/>
  </si>
  <si>
    <t>X|X|XXX||XXX|X|X|||||X|</t>
  </si>
  <si>
    <t>TATTGTAAGTCCATGCAGAAGAG</t>
  </si>
  <si>
    <t>EMX1_chr12_106252266_3_CT_14</t>
  </si>
  <si>
    <t>|X||||X||-|||||||||||||</t>
  </si>
  <si>
    <t>GTGTCCTAG-AGAAGAAGAAGGG</t>
  </si>
  <si>
    <t>EMX1_chr1_4454920_11_GA_21</t>
  </si>
  <si>
    <t>EMX1_chr1_4454918_5_CT_2</t>
  </si>
  <si>
    <t>GAGTC-CGAGCAGAAGAAGAAGGG</t>
  </si>
  <si>
    <t>|||||-|||||||XXXXX|X||XX</t>
  </si>
  <si>
    <t>GAGTCACGAGCAGCCACTGGAGAA</t>
  </si>
  <si>
    <t>EMX1_chr1_4454893_7_CT_1</t>
  </si>
  <si>
    <t>p.s.</t>
    <phoneticPr fontId="2" type="noConversion"/>
  </si>
  <si>
    <t>enriched_reads</t>
  </si>
  <si>
    <t>rep2</t>
  </si>
  <si>
    <t>location_of_another_site</t>
  </si>
  <si>
    <t>another_site</t>
  </si>
  <si>
    <t>align_distant</t>
    <phoneticPr fontId="2" type="noConversion"/>
  </si>
  <si>
    <t>primer_id</t>
  </si>
  <si>
    <t>FDR</t>
  </si>
  <si>
    <t>align_distance_down</t>
    <phoneticPr fontId="2" type="noConversion"/>
  </si>
  <si>
    <t>align_distance_up</t>
    <phoneticPr fontId="2" type="noConversion"/>
  </si>
  <si>
    <t>sample_name</t>
  </si>
  <si>
    <t>ACACTCTTTCCCTACACGACGCTCTTCCGATCTNNNNAATACGACTTCCCACATCAGGA</t>
    <phoneticPr fontId="2" type="noConversion"/>
  </si>
  <si>
    <t>TGGAGTTCAGACGTGTGCTCTTCCGATCTNNNNNNCTCCTAATCTGGTGCTCTTCCC</t>
    <phoneticPr fontId="2" type="noConversion"/>
  </si>
  <si>
    <t>ACACTCTTTCCCTACACGACGCTCTTCCGATCTNNNNTTGAGTACGTGTTAGGGATGGG</t>
    <phoneticPr fontId="2" type="noConversion"/>
  </si>
  <si>
    <t>TGGAGTTCAGACGTGTGCTCTTCCGATCTNNNNNNTGTCACATACTCATTCCTCAACCA</t>
    <phoneticPr fontId="2" type="noConversion"/>
  </si>
  <si>
    <t>ACACTCTTTCCCTACACGACGCTCTTCCGATCTNNNNGAGCCAATGTGAGTCAGGTGAA</t>
    <phoneticPr fontId="2" type="noConversion"/>
  </si>
  <si>
    <t>TGGAGTTCAGACGTGTGCTCTTCCGATCTNNNNNNTGCCTTTCATGCCCTAGTGATT</t>
    <phoneticPr fontId="2" type="noConversion"/>
  </si>
  <si>
    <t>ACACTCTTTCCCTACACGACGCTCTTCCGATCTNNNNTTAGTAGCTTCCCTGAAAACCA</t>
    <phoneticPr fontId="2" type="noConversion"/>
  </si>
  <si>
    <t>TGGAGTTCAGACGTGTGCTCTTCCGATCTNNNNNNGTAAGTGAAATTTGCCCTAAGGAA</t>
    <phoneticPr fontId="2" type="noConversion"/>
  </si>
  <si>
    <t>ACACTCTTTCCCTACACGACGCTCTTCCGATCTNNNNTTCTGAGCCTGGTGTGAAGAAA</t>
    <phoneticPr fontId="2" type="noConversion"/>
  </si>
  <si>
    <t>TGGAGTTCAGACGTGTGCTCTTCCGATCTNNNNNNTCAGTGACAAGCCAAATACAAGT</t>
    <phoneticPr fontId="2" type="noConversion"/>
  </si>
  <si>
    <t>TGGAGTTCAGACGTGTGCTCTTCCGATCTNNNNNNAATGGGAGCATAGTGTTAAGTTCA</t>
    <phoneticPr fontId="2" type="noConversion"/>
  </si>
  <si>
    <t>ACACTCTTTCCCTACACGACGCTCTTCCGATCTNNNNAGGGTACTTTTTCCCTGGTCC</t>
    <phoneticPr fontId="2" type="noConversion"/>
  </si>
  <si>
    <t>ACACTCTTTCCCTACACGACGCTCTTCCGATCTNNNNCGCGCTTTGGGAGTACTGAG</t>
    <phoneticPr fontId="2" type="noConversion"/>
  </si>
  <si>
    <t>TGGAGTTCAGACGTGTGCTCTTCCGATCTNNNNNNCATCCACAAGACCACCTCCC</t>
    <phoneticPr fontId="2" type="noConversion"/>
  </si>
  <si>
    <t>ACACTCTTTCCCTACACGACGCTCTTCCGATCTNNNNACACTATCTCTCCCCACGCTAT</t>
    <phoneticPr fontId="2" type="noConversion"/>
  </si>
  <si>
    <t>TGGAGTTCAGACGTGTGCTCTTCCGATCTNNNNNNGTTAGCGGCCTTGGAGAATACT</t>
    <phoneticPr fontId="2" type="noConversion"/>
  </si>
  <si>
    <t>ACACTCTTTCCCTACACGACGCTCTTCCGATCTNNNNACAACAAATGGGACTGAGTGGG</t>
    <phoneticPr fontId="2" type="noConversion"/>
  </si>
  <si>
    <t>TGGAGTTCAGACGTGTGCTCTTCCGATCTNNNNNNCGTGGGGAGAGATAGTGTTGAA</t>
    <phoneticPr fontId="2" type="noConversion"/>
  </si>
  <si>
    <t>TGGAGTTCAGACGTGTGCTCTTCCGATCTNNNNNNACTCAAGGGTACTGGAGATTTCGG</t>
    <phoneticPr fontId="2" type="noConversion"/>
  </si>
  <si>
    <t>ACACTCTTTCCCTACACGACGCTCTTCCGATCTNNNNTTGGGGTGGAGTGTAGCTGATT</t>
    <phoneticPr fontId="2" type="noConversion"/>
  </si>
  <si>
    <t>TGGAGTTCAGACGTGTGCTCTTCCGATCTNNNNNNACAACCAGGAATTTCAGTTCAAGA</t>
    <phoneticPr fontId="2" type="noConversion"/>
  </si>
  <si>
    <t>ACACTCTTTCCCTACACGACGCTCTTCCGATCTNNNNAAGACGTGGAAAGTTGGCC</t>
    <phoneticPr fontId="2" type="noConversion"/>
  </si>
  <si>
    <t>TGGAGTTCAGACGTGTGCTCTTCCGATCTNNNNNNGCTATAAATCATTCAATGCCAGCA</t>
    <phoneticPr fontId="2" type="noConversion"/>
  </si>
  <si>
    <t>ACACTCTTTCCCTACACGACGCTCTTCCGATCTNNNNGTGCCTGCACTACTATCCAA</t>
    <phoneticPr fontId="2" type="noConversion"/>
  </si>
  <si>
    <t>V-all1</t>
    <phoneticPr fontId="2" type="noConversion"/>
  </si>
  <si>
    <r>
      <t>E-</t>
    </r>
    <r>
      <rPr>
        <sz val="12"/>
        <color indexed="205"/>
        <rFont val="等线"/>
        <family val="4"/>
        <charset val="134"/>
      </rPr>
      <t>all1</t>
    </r>
    <phoneticPr fontId="2" type="noConversion"/>
  </si>
  <si>
    <t>总体积 40 ul</t>
    <phoneticPr fontId="2" type="noConversion"/>
  </si>
  <si>
    <t>20 ul Q5</t>
    <phoneticPr fontId="2" type="noConversion"/>
  </si>
  <si>
    <t xml:space="preserve">0.9X            </t>
    <phoneticPr fontId="2" type="noConversion"/>
  </si>
  <si>
    <t>20 ul水洗脱(预计~3 ng/ul)</t>
    <phoneticPr fontId="2" type="noConversion"/>
  </si>
  <si>
    <t>总体积 52 ul</t>
    <phoneticPr fontId="2" type="noConversion"/>
  </si>
  <si>
    <t>1.25 ul Index&amp; 1.25 ul Uni</t>
    <phoneticPr fontId="2" type="noConversion"/>
  </si>
  <si>
    <t>Index B1-Pos</t>
    <phoneticPr fontId="2" type="noConversion"/>
  </si>
  <si>
    <t>Index B2-Neg</t>
    <phoneticPr fontId="2" type="noConversion"/>
  </si>
  <si>
    <t>Index A1-Pos</t>
    <phoneticPr fontId="2" type="noConversion"/>
  </si>
  <si>
    <t>Index A2-Neg</t>
    <phoneticPr fontId="2" type="noConversion"/>
  </si>
  <si>
    <t>Pos</t>
    <phoneticPr fontId="2" type="noConversion"/>
  </si>
  <si>
    <t>Neg</t>
    <phoneticPr fontId="2" type="noConversion"/>
  </si>
  <si>
    <t>每管22.5ul H2O洗脱</t>
    <phoneticPr fontId="2" type="noConversion"/>
  </si>
  <si>
    <t>每管18ul H2O洗脱</t>
    <phoneticPr fontId="2" type="noConversion"/>
  </si>
  <si>
    <t>20 ul水洗脱(预计~4 ng/ul)</t>
    <phoneticPr fontId="2" type="noConversion"/>
  </si>
  <si>
    <t>Sites</t>
    <phoneticPr fontId="2" type="noConversion"/>
  </si>
  <si>
    <t>48G</t>
    <phoneticPr fontId="2" type="noConversion"/>
  </si>
  <si>
    <t>emx1-dis-1_HTSrev</t>
    <phoneticPr fontId="2" type="noConversion"/>
  </si>
  <si>
    <t>emx1-dis-2_HTSrev</t>
  </si>
  <si>
    <t>emx1-dis-3_HTSrev</t>
  </si>
  <si>
    <t>amplicon_start</t>
    <phoneticPr fontId="2" type="noConversion"/>
  </si>
  <si>
    <t>amplicon_end</t>
    <phoneticPr fontId="2" type="noConversion"/>
  </si>
  <si>
    <t>veg2-dis-5_HTSfwd2</t>
    <phoneticPr fontId="2" type="noConversion"/>
  </si>
  <si>
    <t>veg2-dis-5_HTSrev2</t>
    <phoneticPr fontId="2" type="noConversion"/>
  </si>
  <si>
    <t>CCTCACGTTCCATTAGATCTCTAG</t>
  </si>
  <si>
    <t>GAAACTGCAAAACTCCAGACAC</t>
  </si>
  <si>
    <t>veg2-dis-5-2</t>
    <phoneticPr fontId="2" type="noConversion"/>
  </si>
  <si>
    <t>TGGAGTTCAGACGTGTGCTCTTCCGATCTNNNNNNCCTCACGTTCCATTAGATCTCTAG</t>
    <phoneticPr fontId="2" type="noConversion"/>
  </si>
  <si>
    <t>ACACTCTTTCCCTACACGACGCTCTTCCGATCTNNNNGAAACTGCAAAACTCCAGACAC</t>
    <phoneticPr fontId="2" type="noConversion"/>
  </si>
  <si>
    <t>hek4-dis-4</t>
    <phoneticPr fontId="2" type="noConversion"/>
  </si>
  <si>
    <t>hek4-dis-5p2_HTSfwd</t>
    <phoneticPr fontId="2" type="noConversion"/>
  </si>
  <si>
    <t>hek4-dis-5p2_HTSrev</t>
    <phoneticPr fontId="2" type="noConversion"/>
  </si>
  <si>
    <t>hek4-dis-5p3_HTSfwd</t>
    <phoneticPr fontId="2" type="noConversion"/>
  </si>
  <si>
    <t>hek4-dis-5p3_HTSrev</t>
    <phoneticPr fontId="2" type="noConversion"/>
  </si>
  <si>
    <t>AATGTCTCCATTGCTGAAGTGAG</t>
  </si>
  <si>
    <t>ACAAATAGCGTGGGGAGAGATA</t>
  </si>
  <si>
    <t>hek4-dis-5p2</t>
    <phoneticPr fontId="2" type="noConversion"/>
  </si>
  <si>
    <t>hek4-dis-5p3</t>
  </si>
  <si>
    <t>GGTGCTCACTTTGACACCTCA</t>
  </si>
  <si>
    <t>ATTGCTGAAGTGAGTATTCCTGGT</t>
  </si>
  <si>
    <t>TGGAGTTCAGACGTGTGCTCTTCCGATCTNNNNNNAATGTCTCCATTGCTGAAGTGAG</t>
    <phoneticPr fontId="2" type="noConversion"/>
  </si>
  <si>
    <t>ACACTCTTTCCCTACACGACGCTCTTCCGATCTNNNNACAAATAGCGTGGGGAGAGATA</t>
    <phoneticPr fontId="2" type="noConversion"/>
  </si>
  <si>
    <t>TGGAGTTCAGACGTGTGCTCTTCCGATCTNNNNNNATTGCTGAAGTGAGTATTCCTGGT</t>
    <phoneticPr fontId="2" type="noConversion"/>
  </si>
  <si>
    <t>ACACTCTTTCCCTACACGACGCTCTTCCGATCTNNNNGGTGCTCACTTTGACACCTCA</t>
    <phoneticPr fontId="2" type="noConversion"/>
  </si>
  <si>
    <t>guide-91</t>
    <phoneticPr fontId="2" type="noConversion"/>
  </si>
  <si>
    <t>0611-DetectSeq-pRBS.MCF7-HEK4__MCF7-HEK239T-site4-Detect-off-target-11__chr1_201624810_201624990.png</t>
    <phoneticPr fontId="2" type="noConversion"/>
  </si>
  <si>
    <t>0611-DetectSeq-pRBS.MCF7-HEK4__MCF7-HEK239T-site4-Detect-off-target-19__chr1_32005963_32006143.png</t>
    <phoneticPr fontId="2" type="noConversion"/>
  </si>
  <si>
    <t>0611-DetectSeq-pRBS.MCF7-HEK4__MCF7-HEK239T-site4-Detect-off-target-25__chr17_38338536_38338716.png</t>
    <phoneticPr fontId="2" type="noConversion"/>
  </si>
  <si>
    <t>0611-DetectSeq-pRBS.MCF7-HEK4__MCF7-HEK239T-site4-Detect-off-target-27__chr15_38639708_38639888.png</t>
    <phoneticPr fontId="2" type="noConversion"/>
  </si>
  <si>
    <t>200611-DetectSeq-pRBS.MCF7-HEK4__MCF7-HEK239T-site4-Detect-off-target-13__chr10_75343266_75343446.png</t>
    <phoneticPr fontId="2" type="noConversion"/>
  </si>
  <si>
    <t>200611-DetectSeq-pRBS.MCF7-HEK4__MCF7-HEK239T-site4-Detect-off-target-18__chr1_148377548_148377728.png</t>
    <phoneticPr fontId="2" type="noConversion"/>
  </si>
  <si>
    <t>200611-DetectSeq-pRBS.MCF7-HEK4__MCF7-HEK239T-site4-Detect-off-target-22__chr2_237467115_237467295.png</t>
    <phoneticPr fontId="2" type="noConversion"/>
  </si>
  <si>
    <t>HK4-mcf-1_HTSfwd</t>
    <phoneticPr fontId="2" type="noConversion"/>
  </si>
  <si>
    <t>Template strand</t>
  </si>
  <si>
    <t>Start</t>
  </si>
  <si>
    <t>Stop</t>
  </si>
  <si>
    <t>CTGGCTTCTGGGTTGAAAATAG</t>
  </si>
  <si>
    <t>HK4-mcf-1_HTSrev</t>
    <phoneticPr fontId="2" type="noConversion"/>
  </si>
  <si>
    <t>HK4-mcf-2_HTSfwd</t>
  </si>
  <si>
    <t>HK4-mcf-2_HTSrev</t>
  </si>
  <si>
    <t>HK4-mcf-3_HTSfwd</t>
  </si>
  <si>
    <t>HK4-mcf-3_HTSrev</t>
  </si>
  <si>
    <t>HK4-mcf-4_HTSfwd</t>
  </si>
  <si>
    <t>HK4-mcf-4_HTSrev</t>
  </si>
  <si>
    <t>HK4-mcf-5_HTSfwd</t>
  </si>
  <si>
    <t>HK4-mcf-5_HTSrev</t>
  </si>
  <si>
    <t>HK4-mcf-6_HTSfwd</t>
  </si>
  <si>
    <t>HK4-mcf-6_HTSrev</t>
  </si>
  <si>
    <t>/</t>
    <phoneticPr fontId="2" type="noConversion"/>
  </si>
  <si>
    <t>ATTCACCCGCTCCATGGTTACA</t>
  </si>
  <si>
    <t>HK4-mcf-1</t>
    <phoneticPr fontId="2" type="noConversion"/>
  </si>
  <si>
    <t>HK4-mcf-2</t>
  </si>
  <si>
    <t>HK4-mcf-3</t>
  </si>
  <si>
    <t>HK4-mcf-4</t>
  </si>
  <si>
    <t>GGGTTGTCCATTGCCTTAGCTT</t>
  </si>
  <si>
    <t>GTCCTAACTGGACTCCCTCACT</t>
  </si>
  <si>
    <t>ACAAGATTCATGTGTTGGTGAGC</t>
  </si>
  <si>
    <t>GGAAATACGGGCTTAGGTGTGG</t>
  </si>
  <si>
    <t>HK4-mcf-5</t>
  </si>
  <si>
    <t>CCCTATGCTAATGGAAGGAGAA</t>
  </si>
  <si>
    <t>ACCATTCACTTCCTTGTCCTGA</t>
  </si>
  <si>
    <t>ACCCTGGATATCTGAGACTTGT</t>
  </si>
  <si>
    <t>GCACCCAGAGAAGTGAATGTGTCT</t>
  </si>
  <si>
    <t>HEK239T-site4-Detect-off-target-68</t>
  </si>
  <si>
    <t>HEK239T-site4-Detect-off-target-86</t>
  </si>
  <si>
    <t>HEK239T-site4-Detect-off-target-88</t>
  </si>
  <si>
    <t>HEK239T-site4-Detect-off-target-108</t>
  </si>
  <si>
    <t>HEK239T-site4-Detect-off-target-44</t>
  </si>
  <si>
    <t>HEK239T-site4-Detect-off-target-51</t>
  </si>
  <si>
    <t>HEK239T-site4-Detect-off-target-65</t>
  </si>
  <si>
    <t>ATAACTAGACTCGAGTGTGTGGGT</t>
  </si>
  <si>
    <t>GGTGCTCAAAAGGTTGGCTTC</t>
  </si>
  <si>
    <t>HK4-mcf-6</t>
  </si>
  <si>
    <t>HK4-mcf-7</t>
  </si>
  <si>
    <t>CTCCTGACTTAGATTGTGCAGGT</t>
  </si>
  <si>
    <t>CTTAGTTTGCAGGCTTGTGGAG</t>
  </si>
  <si>
    <t>HK4-mcf-8</t>
  </si>
  <si>
    <t>TCATAGATGTTCAGGTACGATCAC</t>
  </si>
  <si>
    <t>ATAAAGTCAGGCGGATTCAGTG</t>
  </si>
  <si>
    <t>AAATAAATGAGACAGCCATGAGGC</t>
  </si>
  <si>
    <t>TCCTGGCCCGAAGAGTTAGAG</t>
  </si>
  <si>
    <t>HK4-mcf-9</t>
  </si>
  <si>
    <t>HK4-mcf-10</t>
  </si>
  <si>
    <t>AACAATACATGGGGTGGCTGG</t>
  </si>
  <si>
    <t>GGATGGCTTGAGATAGAGGACAG</t>
  </si>
  <si>
    <t>HK4-mcf-7_HTSfwd</t>
  </si>
  <si>
    <t>HK4-mcf-7_HTSrev</t>
  </si>
  <si>
    <t>HK4-mcf-8_HTSfwd</t>
  </si>
  <si>
    <t>HK4-mcf-8_HTSrev</t>
  </si>
  <si>
    <t>HK4-mcf-9_HTSfwd</t>
  </si>
  <si>
    <t>HK4-mcf-9_HTSrev</t>
  </si>
  <si>
    <t>HK4-mcf-10_HTSfwd</t>
  </si>
  <si>
    <t>HK4-mcf-10_HTSrev</t>
  </si>
  <si>
    <t>20200611-DetectSeq-pRBS.MCF7-HEK4__MCF7-HEK239T-site4-Detect-off-target-12__chr7_54493649_54493829.png</t>
    <phoneticPr fontId="2" type="noConversion"/>
  </si>
  <si>
    <t>pRBS_293_only</t>
    <phoneticPr fontId="2" type="noConversion"/>
  </si>
  <si>
    <t>out_dif</t>
    <phoneticPr fontId="2" type="noConversion"/>
  </si>
  <si>
    <t>DetectSeq-pRBS.MCF7-HEK4__MCF7-HEK239T-site4-Detect-off-target-26__chr11_112928925_112929105.png</t>
    <phoneticPr fontId="2" type="noConversion"/>
  </si>
  <si>
    <t>MCF7-HEK239T-site4-Detect-off-target-29</t>
  </si>
  <si>
    <t>MCF7-HEK239T-site4-Detect-off-target-9</t>
  </si>
  <si>
    <t>MCF7-HEK239T-site4-Detect-off-target-30</t>
  </si>
  <si>
    <t>MCF7-HEK239T-site4-Detect-off-target-15</t>
  </si>
  <si>
    <t>MCF7-HEK239T-site4-Detect-off-target-5</t>
  </si>
  <si>
    <t>MCF7-HEK239T-site4-Detect-off-target-14</t>
  </si>
  <si>
    <t>MCF7-HEK239T-site4-Detect-off-target-23</t>
  </si>
  <si>
    <t>MCF7-HEK239T-site4-Detect-off-target-8</t>
  </si>
  <si>
    <t>near_same</t>
    <phoneticPr fontId="2" type="noConversion"/>
  </si>
  <si>
    <t>CTTCCTGGAGCCATTCCTAGC</t>
  </si>
  <si>
    <t>TCAAATCTGTGAAGGAGGTGTGAT</t>
  </si>
  <si>
    <t>HK4-mcf-11_HTSfwd</t>
  </si>
  <si>
    <t>HK4-mcf-11_HTSrev</t>
  </si>
  <si>
    <t>HK4-mcf-11</t>
  </si>
  <si>
    <t>AGGTGGAGTGCTCAGTAGAAT</t>
  </si>
  <si>
    <t>TAGCACAGATTCTATCTGCTATGG</t>
  </si>
  <si>
    <t>HK4-mcf-12_HTSfwd</t>
  </si>
  <si>
    <t>HK4-mcf-12_HTSrev</t>
  </si>
  <si>
    <t>HK4-mcf-12</t>
  </si>
  <si>
    <t>GAAAGTATCCGAATGCCCATAG</t>
  </si>
  <si>
    <t>CTGTCAGAAGAGCTAGTGAGTC</t>
  </si>
  <si>
    <t>HK4-mcf-13</t>
  </si>
  <si>
    <t>CCTTCCCTAGGCTGTCATCAG</t>
  </si>
  <si>
    <t>TGCCTGGTTTTAATGCACTTTGAT</t>
  </si>
  <si>
    <t>HK4-mcf-14</t>
  </si>
  <si>
    <t>HK4-mcf-13_HTSfwd</t>
  </si>
  <si>
    <t>HK4-mcf-13_HTSrev</t>
  </si>
  <si>
    <t>HK4-mcf-14_HTSfwd</t>
  </si>
  <si>
    <t>HK4-mcf-14_HTSrev</t>
  </si>
  <si>
    <t>HK4-mcf-15_HTSfwd</t>
  </si>
  <si>
    <t>HK4-mcf-15_HTSrev</t>
  </si>
  <si>
    <t>TGGGGTTCTCAGACCCTGTAAAT</t>
  </si>
  <si>
    <t>TCCCTCTCTCCATGGTGTACG</t>
  </si>
  <si>
    <t>HK4-mcf-15</t>
  </si>
  <si>
    <t>same</t>
    <phoneticPr fontId="2" type="noConversion"/>
  </si>
  <si>
    <t>ACACTCTTTCCCTACACGACGCTCTTCCGATCTNNNNCCCTATGCTAATGGAAGGAGAA</t>
    <phoneticPr fontId="2" type="noConversion"/>
  </si>
  <si>
    <t>TGGAGTTCAGACGTGTGCTCTTCCGATCTNNNNNNACCATTCACTTCCTTGTCCTGA</t>
    <phoneticPr fontId="2" type="noConversion"/>
  </si>
  <si>
    <t>ACACTCTTTCCCTACACGACGCTCTTCCGATCTNNNNCTGGCTTCTGGGTTGAAAATAG</t>
    <phoneticPr fontId="2" type="noConversion"/>
  </si>
  <si>
    <t>TGGAGTTCAGACGTGTGCTCTTCCGATCTNNNNNNACCCTGGATATCTGAGACTTGT</t>
    <phoneticPr fontId="2" type="noConversion"/>
  </si>
  <si>
    <t>TGGAGTTCAGACGTGTGCTCTTCCGATCTNNNNNNGCACCCAGAGAAGTGAATGTGTCT</t>
    <phoneticPr fontId="2" type="noConversion"/>
  </si>
  <si>
    <t>ACACTCTTTCCCTACACGACGCTCTTCCGATCTNNNNATTCACCCGCTCCATGGTTACA</t>
    <phoneticPr fontId="2" type="noConversion"/>
  </si>
  <si>
    <t>ACACTCTTTCCCTACACGACGCTCTTCCGATCTNNNNGGGTTGTCCATTGCCTTAGCTT</t>
    <phoneticPr fontId="2" type="noConversion"/>
  </si>
  <si>
    <t>TGGAGTTCAGACGTGTGCTCTTCCGATCTNNNNNNGTCCTAACTGGACTCCCTCACT</t>
    <phoneticPr fontId="2" type="noConversion"/>
  </si>
  <si>
    <t>TGGAGTTCAGACGTGTGCTCTTCCGATCTNNNNNNACAAGATTCATGTGTTGGTGAGC</t>
    <phoneticPr fontId="2" type="noConversion"/>
  </si>
  <si>
    <t>ACACTCTTTCCCTACACGACGCTCTTCCGATCTNNNNGGAAATACGGGCTTAGGTGTGG</t>
    <phoneticPr fontId="2" type="noConversion"/>
  </si>
  <si>
    <t>TGGAGTTCAGACGTGTGCTCTTCCGATCTNNNNNNATAACTAGACTCGAGTGTGTGGGT</t>
    <phoneticPr fontId="2" type="noConversion"/>
  </si>
  <si>
    <t>ACACTCTTTCCCTACACGACGCTCTTCCGATCTNNNNGGTGCTCAAAAGGTTGGCTTC</t>
    <phoneticPr fontId="2" type="noConversion"/>
  </si>
  <si>
    <t>TGGAGTTCAGACGTGTGCTCTTCCGATCTNNNNNNCTCCTGACTTAGATTGTGCAGGT</t>
    <phoneticPr fontId="2" type="noConversion"/>
  </si>
  <si>
    <t>ACACTCTTTCCCTACACGACGCTCTTCCGATCTNNNNCTTAGTTTGCAGGCTTGTGGAG</t>
    <phoneticPr fontId="2" type="noConversion"/>
  </si>
  <si>
    <t>TGGAGTTCAGACGTGTGCTCTTCCGATCTNNNNNNTCATAGATGTTCAGGTACGATCAC</t>
    <phoneticPr fontId="2" type="noConversion"/>
  </si>
  <si>
    <t>ACACTCTTTCCCTACACGACGCTCTTCCGATCTNNNNATAAAGTCAGGCGGATTCAGTG</t>
    <phoneticPr fontId="2" type="noConversion"/>
  </si>
  <si>
    <t>TGGAGTTCAGACGTGTGCTCTTCCGATCTNNNNNNAAATAAATGAGACAGCCATGAGGC</t>
    <phoneticPr fontId="2" type="noConversion"/>
  </si>
  <si>
    <t>ACACTCTTTCCCTACACGACGCTCTTCCGATCTNNNNTCCTGGCCCGAAGAGTTAGAG</t>
    <phoneticPr fontId="2" type="noConversion"/>
  </si>
  <si>
    <t>ACACTCTTTCCCTACACGACGCTCTTCCGATCTNNNNAACAATACATGGGGTGGCTGG</t>
    <phoneticPr fontId="2" type="noConversion"/>
  </si>
  <si>
    <t>TGGAGTTCAGACGTGTGCTCTTCCGATCTNNNNNNGGATGGCTTGAGATAGAGGACAG</t>
    <phoneticPr fontId="2" type="noConversion"/>
  </si>
  <si>
    <t>ACACTCTTTCCCTACACGACGCTCTTCCGATCTNNNNCTTCCTGGAGCCATTCCTAGC</t>
    <phoneticPr fontId="2" type="noConversion"/>
  </si>
  <si>
    <t>TGGAGTTCAGACGTGTGCTCTTCCGATCTNNNNNNTCAAATCTGTGAAGGAGGTGTGAT</t>
    <phoneticPr fontId="2" type="noConversion"/>
  </si>
  <si>
    <t>ACACTCTTTCCCTACACGACGCTCTTCCGATCTNNNNAGGTGGAGTGCTCAGTAGAAT</t>
    <phoneticPr fontId="2" type="noConversion"/>
  </si>
  <si>
    <t>TGGAGTTCAGACGTGTGCTCTTCCGATCTNNNNNNTAGCACAGATTCTATCTGCTATGG</t>
    <phoneticPr fontId="2" type="noConversion"/>
  </si>
  <si>
    <t>ACACTCTTTCCCTACACGACGCTCTTCCGATCTNNNNGAAAGTATCCGAATGCCCATAG</t>
    <phoneticPr fontId="2" type="noConversion"/>
  </si>
  <si>
    <t>TGGAGTTCAGACGTGTGCTCTTCCGATCTNNNNNNCTGTCAGAAGAGCTAGTGAGTC</t>
    <phoneticPr fontId="2" type="noConversion"/>
  </si>
  <si>
    <t>ACACTCTTTCCCTACACGACGCTCTTCCGATCTNNNNCCTTCCCTAGGCTGTCATCAG</t>
    <phoneticPr fontId="2" type="noConversion"/>
  </si>
  <si>
    <t>TGGAGTTCAGACGTGTGCTCTTCCGATCTNNNNNNTGCCTGGTTTTAATGCACTTTGAT</t>
    <phoneticPr fontId="2" type="noConversion"/>
  </si>
  <si>
    <t>TGGAGTTCAGACGTGTGCTCTTCCGATCTNNNNNNTGGGGTTCTCAGACCCTGTAAAT</t>
    <phoneticPr fontId="2" type="noConversion"/>
  </si>
  <si>
    <t>ACACTCTTTCCCTACACGACGCTCTTCCGATCTNNNNTCCCTCTCTCCATGGTGTACG</t>
    <phoneticPr fontId="2" type="noConversion"/>
  </si>
  <si>
    <t>type</t>
    <phoneticPr fontId="2" type="noConversion"/>
  </si>
  <si>
    <t>MCF-HEK4-rep1</t>
    <phoneticPr fontId="2" type="noConversion"/>
  </si>
  <si>
    <t>MCF-HEK4-rep2</t>
  </si>
  <si>
    <t>293T-HEK4-rep1</t>
    <phoneticPr fontId="2" type="noConversion"/>
  </si>
  <si>
    <t>293T-HEK4-rep2</t>
  </si>
  <si>
    <t>EMX1-guide-2</t>
    <phoneticPr fontId="2" type="noConversion"/>
  </si>
  <si>
    <t>EMX1-guide-4</t>
    <phoneticPr fontId="2" type="noConversion"/>
  </si>
  <si>
    <t>EMX1-guide-10</t>
    <phoneticPr fontId="2" type="noConversion"/>
  </si>
  <si>
    <t>EMX1-guide-13</t>
    <phoneticPr fontId="2" type="noConversion"/>
  </si>
  <si>
    <t>EMX1-notOFF-2</t>
    <phoneticPr fontId="2" type="noConversion"/>
  </si>
  <si>
    <t>M2</t>
    <phoneticPr fontId="2" type="noConversion"/>
  </si>
  <si>
    <t>53P</t>
    <phoneticPr fontId="2" type="noConversion"/>
  </si>
  <si>
    <t>55P</t>
    <phoneticPr fontId="2" type="noConversion"/>
  </si>
  <si>
    <t>56E</t>
    <phoneticPr fontId="2" type="noConversion"/>
  </si>
  <si>
    <t>56V</t>
    <phoneticPr fontId="2" type="noConversion"/>
  </si>
  <si>
    <t>56W</t>
    <phoneticPr fontId="2" type="noConversion"/>
  </si>
  <si>
    <t>57P</t>
    <phoneticPr fontId="2" type="noConversion"/>
  </si>
  <si>
    <t>58P</t>
    <phoneticPr fontId="2" type="noConversion"/>
  </si>
  <si>
    <t>59P</t>
    <phoneticPr fontId="2" type="noConversion"/>
  </si>
  <si>
    <t>61P</t>
    <phoneticPr fontId="2" type="noConversion"/>
  </si>
  <si>
    <t>90-126</t>
    <phoneticPr fontId="2" type="noConversion"/>
  </si>
  <si>
    <t>54P</t>
    <phoneticPr fontId="2" type="noConversion"/>
  </si>
  <si>
    <t>Index</t>
    <phoneticPr fontId="2" type="noConversion"/>
  </si>
  <si>
    <t>A1</t>
    <phoneticPr fontId="2" type="noConversion"/>
  </si>
  <si>
    <t>A2</t>
  </si>
  <si>
    <t>A3</t>
  </si>
  <si>
    <t>A4</t>
  </si>
  <si>
    <t>A5</t>
  </si>
  <si>
    <t>A6</t>
  </si>
  <si>
    <t>A7</t>
  </si>
  <si>
    <t>B1</t>
    <phoneticPr fontId="2" type="noConversion"/>
  </si>
  <si>
    <t>B2</t>
  </si>
  <si>
    <t>B3</t>
  </si>
  <si>
    <t>B4</t>
  </si>
  <si>
    <t>B5</t>
  </si>
  <si>
    <t>B6</t>
  </si>
  <si>
    <t>x13管</t>
    <phoneticPr fontId="2" type="noConversion"/>
  </si>
  <si>
    <t>lane1</t>
    <phoneticPr fontId="2" type="noConversion"/>
  </si>
  <si>
    <t>42G</t>
    <phoneticPr fontId="2" type="noConversion"/>
  </si>
  <si>
    <t>lane2</t>
    <phoneticPr fontId="2" type="noConversion"/>
  </si>
  <si>
    <t>A8</t>
    <phoneticPr fontId="2" type="noConversion"/>
  </si>
  <si>
    <t>A9</t>
  </si>
  <si>
    <t>B7</t>
    <phoneticPr fontId="2" type="noConversion"/>
  </si>
  <si>
    <t>B8</t>
  </si>
  <si>
    <t>60G</t>
    <phoneticPr fontId="2" type="noConversion"/>
  </si>
  <si>
    <t>总计</t>
    <phoneticPr fontId="2" type="noConversion"/>
  </si>
  <si>
    <t>58G</t>
    <phoneticPr fontId="2" type="noConversion"/>
  </si>
  <si>
    <t>40G</t>
    <phoneticPr fontId="2" type="noConversion"/>
  </si>
  <si>
    <t>20G</t>
    <phoneticPr fontId="2" type="noConversion"/>
  </si>
  <si>
    <t>+RNA-seq</t>
    <phoneticPr fontId="2" type="noConversion"/>
  </si>
  <si>
    <t>基因组</t>
    <phoneticPr fontId="2" type="noConversion"/>
  </si>
  <si>
    <t>引物对</t>
    <phoneticPr fontId="2" type="noConversion"/>
  </si>
  <si>
    <t>x4管</t>
    <phoneticPr fontId="2" type="noConversion"/>
  </si>
  <si>
    <t>总体积 60 ul</t>
    <phoneticPr fontId="2" type="noConversion"/>
  </si>
  <si>
    <t>EMX1-Dis-1</t>
  </si>
  <si>
    <t>rep1</t>
    <phoneticPr fontId="2" type="noConversion"/>
  </si>
  <si>
    <t>EMX1-Dis-2</t>
  </si>
  <si>
    <t>EMX1-Dis-3</t>
  </si>
  <si>
    <t>EMX1-notOFF-02</t>
  </si>
  <si>
    <t>EMX1-notOFF-03</t>
  </si>
  <si>
    <t>VEGFA-Dis-1</t>
  </si>
  <si>
    <t>VEGFA-Dis-10</t>
  </si>
  <si>
    <t>VEGFA-Dis-11</t>
  </si>
  <si>
    <t>VEGFA-Dis-12</t>
  </si>
  <si>
    <t>VEGFA-Dis-13</t>
  </si>
  <si>
    <t>VEGFA-Dis-14</t>
  </si>
  <si>
    <t>VEGFA-Dis-2</t>
  </si>
  <si>
    <t>VEGFA-Dis-3</t>
  </si>
  <si>
    <t>VEGFA-Dis-4</t>
  </si>
  <si>
    <t>VEGFA-Dis-5</t>
  </si>
  <si>
    <t>VEGFA-Dis-6</t>
  </si>
  <si>
    <t>VEGFA-Dis-7</t>
  </si>
  <si>
    <t>VEGFA-Dis-8</t>
  </si>
  <si>
    <t>VEGFA-OffNo_GDNo-01</t>
  </si>
  <si>
    <t>VEGFA-OffNo_GDNo-03</t>
  </si>
  <si>
    <t>VEGFA-OffNo_GDNo-04</t>
  </si>
  <si>
    <t>VEGFA-OffNo_GDNo-05</t>
  </si>
  <si>
    <t>VEGFA-OffNo_GDNo-06</t>
  </si>
  <si>
    <t>VEGFA-OffNo_GDNo-07</t>
  </si>
  <si>
    <t>VEGFA-OffNo_GDNo-08</t>
  </si>
  <si>
    <t>VEGFA-OffNo_GDNo-10</t>
  </si>
  <si>
    <t>VEGFA-OffNo_GDNo-11</t>
  </si>
  <si>
    <t>VEGFA-OffNo_GDNo-12</t>
  </si>
  <si>
    <t>VEGFA-OffNo_GDNo-13</t>
  </si>
  <si>
    <t>VEGFA-OffNo_GDNo-14</t>
  </si>
  <si>
    <t>VEGFA-OffNo_GDNo-15</t>
  </si>
  <si>
    <t>VEGFA-OffNo_GDNo-16</t>
  </si>
  <si>
    <t>VEGFA-off-target-01</t>
  </si>
  <si>
    <t>VEGFA-off-target-18</t>
  </si>
  <si>
    <t>VEGFA-off-target-9</t>
  </si>
  <si>
    <t>VEGFA-OffYes_GDNo-1</t>
  </si>
  <si>
    <t>VEGFA-OffYes_GDNo-2</t>
  </si>
  <si>
    <t>VEGFA-OffYes_GDNo-3</t>
  </si>
  <si>
    <t>VEGFA-OffYes_GDNo-4</t>
  </si>
  <si>
    <t>VEGFA-OffYes_GDYes-12</t>
  </si>
  <si>
    <t>VEGFA-OffYes_GDYes-13</t>
  </si>
  <si>
    <t>VEGFA-OffYes_GDYes-16</t>
  </si>
  <si>
    <t>VEGFA-OffYes_GDYes-30</t>
  </si>
  <si>
    <t>VEGFA-OffYes_GDYes-78</t>
  </si>
  <si>
    <t>HEK4-Dis-1</t>
  </si>
  <si>
    <t>rep2</t>
    <phoneticPr fontId="2" type="noConversion"/>
  </si>
  <si>
    <t>Veg2-all-2[9-2]0917</t>
  </si>
  <si>
    <t>已有数据</t>
    <phoneticPr fontId="2" type="noConversion"/>
  </si>
  <si>
    <t>Hek4-all-2[4-2]1108</t>
    <phoneticPr fontId="2" type="noConversion"/>
  </si>
  <si>
    <t>Emx1-all-2 [5-2]1101</t>
    <phoneticPr fontId="2" type="noConversion"/>
  </si>
  <si>
    <t>Veg2-all-1 [9-1]0917</t>
    <phoneticPr fontId="2" type="noConversion"/>
  </si>
  <si>
    <t>VEGFA-OffYes_GDYes-105</t>
    <phoneticPr fontId="2" type="noConversion"/>
  </si>
  <si>
    <r>
      <t>VEGFA-Off</t>
    </r>
    <r>
      <rPr>
        <sz val="14"/>
        <color rgb="FFC00000"/>
        <rFont val="等线 (正文)"/>
        <charset val="134"/>
      </rPr>
      <t>Not</t>
    </r>
    <r>
      <rPr>
        <sz val="14"/>
        <color theme="1"/>
        <rFont val="等线"/>
        <family val="4"/>
        <charset val="134"/>
        <scheme val="minor"/>
      </rPr>
      <t>_GDYes-93</t>
    </r>
    <phoneticPr fontId="2" type="noConversion"/>
  </si>
  <si>
    <r>
      <t>VEGFA-Off</t>
    </r>
    <r>
      <rPr>
        <sz val="14"/>
        <color rgb="FFC00000"/>
        <rFont val="等线 (正文)"/>
        <charset val="134"/>
      </rPr>
      <t>Not</t>
    </r>
    <r>
      <rPr>
        <sz val="14"/>
        <color theme="1"/>
        <rFont val="等线"/>
        <family val="4"/>
        <charset val="134"/>
        <scheme val="minor"/>
      </rPr>
      <t>_GDYes-108</t>
    </r>
    <phoneticPr fontId="2" type="noConversion"/>
  </si>
  <si>
    <r>
      <t>VEGFA-Off</t>
    </r>
    <r>
      <rPr>
        <sz val="14"/>
        <color rgb="FFC00000"/>
        <rFont val="等线 (正文)"/>
        <charset val="134"/>
      </rPr>
      <t>Not</t>
    </r>
    <r>
      <rPr>
        <sz val="14"/>
        <color theme="1"/>
        <rFont val="等线"/>
        <family val="4"/>
        <charset val="134"/>
        <scheme val="minor"/>
      </rPr>
      <t>_GDYes-116</t>
    </r>
    <phoneticPr fontId="2" type="noConversion"/>
  </si>
  <si>
    <r>
      <t>VEGFA-Off</t>
    </r>
    <r>
      <rPr>
        <sz val="14"/>
        <color rgb="FFC00000"/>
        <rFont val="等线 (正文)"/>
        <charset val="134"/>
      </rPr>
      <t>Not</t>
    </r>
    <r>
      <rPr>
        <sz val="14"/>
        <color theme="1"/>
        <rFont val="等线"/>
        <family val="4"/>
        <charset val="134"/>
        <scheme val="minor"/>
      </rPr>
      <t>_GDYes-138</t>
    </r>
    <phoneticPr fontId="2" type="noConversion"/>
  </si>
  <si>
    <t>总体积 63 ul</t>
    <phoneticPr fontId="2" type="noConversion"/>
  </si>
  <si>
    <t>总体积 49 ul</t>
    <phoneticPr fontId="2" type="noConversion"/>
  </si>
  <si>
    <t>总体积 42ul</t>
    <phoneticPr fontId="2" type="noConversion"/>
  </si>
  <si>
    <t>总体积 36 ul</t>
    <phoneticPr fontId="2" type="noConversion"/>
  </si>
  <si>
    <t>1st XP</t>
    <phoneticPr fontId="2" type="noConversion"/>
  </si>
  <si>
    <t>1.25 ul Uni</t>
  </si>
  <si>
    <t>EMX1-notOFF-01</t>
  </si>
  <si>
    <t>10x2</t>
    <phoneticPr fontId="2" type="noConversion"/>
  </si>
  <si>
    <t>1 ul Uni</t>
    <phoneticPr fontId="2" type="noConversion"/>
  </si>
  <si>
    <t xml:space="preserve">取_ul after 1st PCR  </t>
    <phoneticPr fontId="2" type="noConversion"/>
  </si>
  <si>
    <t>1x XP (18ul H2O洗脱)</t>
    <phoneticPr fontId="2" type="noConversion"/>
  </si>
  <si>
    <t>X17 cycles</t>
    <phoneticPr fontId="2" type="noConversion"/>
  </si>
  <si>
    <t>0.9x XP (16ul H2O洗脱)</t>
    <phoneticPr fontId="2" type="noConversion"/>
  </si>
  <si>
    <t>1st PCR 待P基因组</t>
    <phoneticPr fontId="2" type="noConversion"/>
  </si>
  <si>
    <t>2nd XP</t>
    <phoneticPr fontId="2" type="noConversion"/>
  </si>
  <si>
    <t>1x XP (22.5 ul洗脱)</t>
  </si>
  <si>
    <t>1x XP (22.5 ul洗脱)</t>
    <phoneticPr fontId="2" type="noConversion"/>
  </si>
  <si>
    <t>X15 cycles</t>
    <phoneticPr fontId="2" type="noConversion"/>
  </si>
  <si>
    <t>X10 cycles</t>
    <phoneticPr fontId="2" type="noConversion"/>
  </si>
  <si>
    <t>0.9x XP (20 ul 洗脱)</t>
  </si>
  <si>
    <t>0.9x XP (20 ul 洗脱)</t>
    <phoneticPr fontId="2" type="noConversion"/>
  </si>
  <si>
    <t>10x3</t>
    <phoneticPr fontId="2" type="noConversion"/>
  </si>
  <si>
    <t>Emx1-all-1 [5-1]1101</t>
    <phoneticPr fontId="2" type="noConversion"/>
  </si>
  <si>
    <t xml:space="preserve">Hek4-all-1[4-1]1108 </t>
    <phoneticPr fontId="2" type="noConversion"/>
  </si>
  <si>
    <t>合并0.9x XP (20ul H2O洗脱)</t>
    <phoneticPr fontId="2" type="noConversion"/>
  </si>
  <si>
    <t>X12 cycles</t>
    <phoneticPr fontId="2" type="noConversion"/>
  </si>
  <si>
    <t>M1-1</t>
    <phoneticPr fontId="2" type="noConversion"/>
  </si>
  <si>
    <t>M1-2</t>
    <phoneticPr fontId="2" type="noConversion"/>
  </si>
  <si>
    <t>M2-1</t>
    <phoneticPr fontId="2" type="noConversion"/>
  </si>
  <si>
    <t>M3-1</t>
    <phoneticPr fontId="2" type="noConversion"/>
  </si>
  <si>
    <t>M4-1</t>
    <phoneticPr fontId="2" type="noConversion"/>
  </si>
  <si>
    <t>M5-2</t>
    <phoneticPr fontId="2" type="noConversion"/>
  </si>
  <si>
    <t>M5-1</t>
    <phoneticPr fontId="2" type="noConversion"/>
  </si>
  <si>
    <t>M6-1</t>
    <phoneticPr fontId="2" type="noConversion"/>
  </si>
  <si>
    <t>M7-1</t>
    <phoneticPr fontId="2" type="noConversion"/>
  </si>
  <si>
    <t>M8-1</t>
    <phoneticPr fontId="2" type="noConversion"/>
  </si>
  <si>
    <t>M9-1</t>
    <phoneticPr fontId="2" type="noConversion"/>
  </si>
  <si>
    <t>BE4-1</t>
    <phoneticPr fontId="2" type="noConversion"/>
  </si>
  <si>
    <t>YEE-1</t>
    <phoneticPr fontId="2" type="noConversion"/>
  </si>
  <si>
    <t>3334-1</t>
    <phoneticPr fontId="2" type="noConversion"/>
  </si>
  <si>
    <t>M2-2</t>
    <phoneticPr fontId="2" type="noConversion"/>
  </si>
  <si>
    <t>M3-2</t>
    <phoneticPr fontId="2" type="noConversion"/>
  </si>
  <si>
    <t>M4-2</t>
    <phoneticPr fontId="2" type="noConversion"/>
  </si>
  <si>
    <t>M6-2</t>
    <phoneticPr fontId="2" type="noConversion"/>
  </si>
  <si>
    <t>M7-2</t>
  </si>
  <si>
    <t>M8-2</t>
  </si>
  <si>
    <t>M9-2</t>
  </si>
  <si>
    <t>BE4-2</t>
  </si>
  <si>
    <t>YEE-2</t>
  </si>
  <si>
    <t>3334-2</t>
  </si>
  <si>
    <t>x24管</t>
    <phoneticPr fontId="2" type="noConversion"/>
  </si>
  <si>
    <t>数据量</t>
    <phoneticPr fontId="2" type="noConversion"/>
  </si>
  <si>
    <t>分到的reads</t>
    <phoneticPr fontId="2" type="noConversion"/>
  </si>
  <si>
    <t>M7-2</t>
    <phoneticPr fontId="2" type="noConversion"/>
  </si>
  <si>
    <t>BE4-2</t>
    <phoneticPr fontId="2" type="noConversion"/>
  </si>
  <si>
    <t>YEE-2</t>
    <phoneticPr fontId="2" type="noConversion"/>
  </si>
  <si>
    <t>3334-2</t>
    <phoneticPr fontId="2" type="noConversion"/>
  </si>
  <si>
    <t>M8-2</t>
    <phoneticPr fontId="2" type="noConversion"/>
  </si>
  <si>
    <t>M9-2</t>
    <phoneticPr fontId="2" type="noConversion"/>
  </si>
  <si>
    <t xml:space="preserve">1 ul Index </t>
    <phoneticPr fontId="2" type="noConversion"/>
  </si>
  <si>
    <t>EMX1-guide-1</t>
    <phoneticPr fontId="2" type="noConversion"/>
  </si>
  <si>
    <t>EMX1-dis-1</t>
    <phoneticPr fontId="2" type="noConversion"/>
  </si>
  <si>
    <t>EMX1-dis-2</t>
  </si>
  <si>
    <t>EMX1-dis-3</t>
  </si>
  <si>
    <t>HEK4-Dis-5</t>
    <phoneticPr fontId="2" type="noConversion"/>
  </si>
  <si>
    <t>Hek4-all-2[4-2]1108</t>
  </si>
  <si>
    <r>
      <t xml:space="preserve">1 ul Index </t>
    </r>
    <r>
      <rPr>
        <b/>
        <sz val="12"/>
        <color theme="1"/>
        <rFont val="微软雅黑"/>
        <family val="2"/>
        <charset val="134"/>
      </rPr>
      <t xml:space="preserve">80 </t>
    </r>
    <phoneticPr fontId="2" type="noConversion"/>
  </si>
  <si>
    <r>
      <t xml:space="preserve">1 ul Index </t>
    </r>
    <r>
      <rPr>
        <b/>
        <sz val="12"/>
        <color theme="1"/>
        <rFont val="微软雅黑"/>
        <family val="2"/>
        <charset val="134"/>
      </rPr>
      <t xml:space="preserve">82 </t>
    </r>
    <phoneticPr fontId="2" type="noConversion"/>
  </si>
  <si>
    <r>
      <t xml:space="preserve">1 ul Index </t>
    </r>
    <r>
      <rPr>
        <b/>
        <sz val="12"/>
        <color theme="1"/>
        <rFont val="微软雅黑"/>
        <family val="2"/>
        <charset val="134"/>
      </rPr>
      <t xml:space="preserve">86 </t>
    </r>
    <phoneticPr fontId="2" type="noConversion"/>
  </si>
  <si>
    <r>
      <t xml:space="preserve">1 ul Index </t>
    </r>
    <r>
      <rPr>
        <b/>
        <sz val="12"/>
        <color rgb="FF000000"/>
        <rFont val="微软雅黑"/>
        <family val="2"/>
        <charset val="134"/>
      </rPr>
      <t xml:space="preserve">88 </t>
    </r>
    <phoneticPr fontId="2" type="noConversion"/>
  </si>
  <si>
    <r>
      <t xml:space="preserve">1.25 ul Index </t>
    </r>
    <r>
      <rPr>
        <b/>
        <sz val="12"/>
        <color rgb="FF000000"/>
        <rFont val="微软雅黑"/>
        <family val="2"/>
        <charset val="134"/>
      </rPr>
      <t xml:space="preserve">85 </t>
    </r>
    <phoneticPr fontId="2" type="noConversion"/>
  </si>
  <si>
    <r>
      <t xml:space="preserve">1.25 ul Index </t>
    </r>
    <r>
      <rPr>
        <b/>
        <sz val="12"/>
        <color rgb="FF000000"/>
        <rFont val="微软雅黑"/>
        <family val="2"/>
        <charset val="134"/>
      </rPr>
      <t xml:space="preserve">89 </t>
    </r>
    <phoneticPr fontId="2" type="noConversion"/>
  </si>
  <si>
    <r>
      <t xml:space="preserve">1.25 ul Index </t>
    </r>
    <r>
      <rPr>
        <b/>
        <sz val="12"/>
        <color rgb="FF000000"/>
        <rFont val="微软雅黑"/>
        <family val="2"/>
        <charset val="134"/>
      </rPr>
      <t xml:space="preserve">86 </t>
    </r>
    <phoneticPr fontId="2" type="noConversion"/>
  </si>
  <si>
    <t>60</t>
    <phoneticPr fontId="2" type="noConversion"/>
  </si>
  <si>
    <t>61</t>
  </si>
  <si>
    <t>1ul Index 1ul Uni</t>
    <phoneticPr fontId="2" type="noConversion"/>
  </si>
  <si>
    <t>总体积 32 ul</t>
    <phoneticPr fontId="2" type="noConversion"/>
  </si>
  <si>
    <t>HEK4-Dis-6 (失败)</t>
    <phoneticPr fontId="2" type="noConversion"/>
  </si>
  <si>
    <t>HEK4-Dis-5p （失败）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</si>
</sst>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>
    <font>
      <sz val="12"/>
      <color theme="1"/>
      <name val="等线"/>
      <family val="2"/>
      <charset val="134"/>
      <scheme val="minor"/>
    </font>
    <font>
      <sz val="14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u/>
      <sz val="12"/>
      <color theme="11"/>
      <name val="等线"/>
      <family val="2"/>
      <charset val="134"/>
      <scheme val="minor"/>
    </font>
    <font>
      <sz val="13"/>
      <color rgb="FF222222"/>
      <name val="Arial"/>
      <family val="2"/>
    </font>
    <font>
      <b/>
      <sz val="13"/>
      <color rgb="FF222222"/>
      <name val="Arial"/>
      <family val="2"/>
    </font>
    <font>
      <b/>
      <sz val="11"/>
      <color theme="1"/>
      <name val="等线"/>
      <family val="2"/>
      <scheme val="minor"/>
    </font>
    <font>
      <sz val="12"/>
      <color rgb="FF222222"/>
      <name val="Courier"/>
      <family val="1"/>
    </font>
    <font>
      <sz val="9"/>
      <name val="宋体"/>
      <family val="3"/>
      <charset val="134"/>
    </font>
    <font>
      <sz val="12"/>
      <color rgb="FF000000"/>
      <name val="等线"/>
      <family val="2"/>
      <charset val="134"/>
      <scheme val="minor"/>
    </font>
    <font>
      <sz val="13"/>
      <color rgb="FFFF0000"/>
      <name val="Arial"/>
      <family val="2"/>
    </font>
    <font>
      <sz val="12"/>
      <color rgb="FFFF0000"/>
      <name val="等线"/>
      <family val="2"/>
      <charset val="134"/>
      <scheme val="minor"/>
    </font>
    <font>
      <sz val="12"/>
      <name val="等线"/>
      <family val="4"/>
      <charset val="134"/>
    </font>
    <font>
      <sz val="12"/>
      <name val="等线"/>
      <family val="4"/>
      <charset val="134"/>
      <scheme val="minor"/>
    </font>
    <font>
      <b/>
      <sz val="12"/>
      <color theme="1"/>
      <name val="Calibri (主题正文)"/>
      <family val="2"/>
    </font>
    <font>
      <sz val="12"/>
      <color theme="2" tint="-0.249977111117893"/>
      <name val="等线"/>
      <family val="4"/>
      <charset val="134"/>
      <scheme val="minor"/>
    </font>
    <font>
      <b/>
      <sz val="12"/>
      <color rgb="FFFF0000"/>
      <name val="Calibri (主题正文)"/>
    </font>
    <font>
      <sz val="12"/>
      <color rgb="FF0000FF"/>
      <name val="等线"/>
      <family val="4"/>
      <charset val="134"/>
      <scheme val="minor"/>
    </font>
    <font>
      <sz val="12"/>
      <color indexed="205"/>
      <name val="等线"/>
      <family val="4"/>
      <charset val="134"/>
    </font>
    <font>
      <b/>
      <sz val="12"/>
      <color rgb="FFFF0000"/>
      <name val="等线"/>
      <family val="4"/>
      <charset val="134"/>
      <scheme val="minor"/>
    </font>
    <font>
      <sz val="9"/>
      <name val="等线"/>
      <family val="2"/>
      <charset val="134"/>
    </font>
    <font>
      <sz val="11"/>
      <color rgb="FFFF0000"/>
      <name val="等线"/>
      <family val="4"/>
      <charset val="134"/>
      <scheme val="minor"/>
    </font>
    <font>
      <sz val="11"/>
      <name val="等线"/>
      <family val="4"/>
      <charset val="134"/>
      <scheme val="minor"/>
    </font>
    <font>
      <sz val="12"/>
      <color rgb="FF3366FF"/>
      <name val="等线"/>
      <family val="4"/>
      <charset val="134"/>
      <scheme val="minor"/>
    </font>
    <font>
      <sz val="12"/>
      <color theme="0" tint="-0.249977111117893"/>
      <name val="等线"/>
      <family val="4"/>
      <charset val="134"/>
      <scheme val="minor"/>
    </font>
    <font>
      <sz val="12"/>
      <color theme="0" tint="-0.34998626667073579"/>
      <name val="等线"/>
      <family val="4"/>
      <charset val="134"/>
      <scheme val="minor"/>
    </font>
    <font>
      <sz val="9.75"/>
      <color rgb="FF222222"/>
      <name val="Arial"/>
      <family val="2"/>
    </font>
    <font>
      <b/>
      <sz val="12"/>
      <color theme="1"/>
      <name val="Calibri (主题正文)"/>
    </font>
    <font>
      <b/>
      <sz val="12"/>
      <color theme="1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sz val="12"/>
      <color rgb="FFC00000"/>
      <name val="等线 (正文)"/>
      <family val="3"/>
      <charset val="134"/>
    </font>
    <font>
      <sz val="12"/>
      <color rgb="FFC00000"/>
      <name val="等线 (正文)"/>
      <charset val="134"/>
    </font>
    <font>
      <sz val="12"/>
      <color rgb="FF000000"/>
      <name val="等线"/>
      <family val="4"/>
      <charset val="134"/>
      <scheme val="minor"/>
    </font>
    <font>
      <sz val="12"/>
      <color rgb="FF0070C0"/>
      <name val="等线"/>
      <family val="2"/>
      <charset val="134"/>
      <scheme val="minor"/>
    </font>
    <font>
      <sz val="12"/>
      <color rgb="FF222222"/>
      <name val="Arial Unicode MS"/>
      <family val="2"/>
    </font>
    <font>
      <sz val="10"/>
      <color rgb="FF000000"/>
      <name val="Arial Unicode MS"/>
      <family val="2"/>
    </font>
    <font>
      <sz val="12"/>
      <color rgb="FFFF0000"/>
      <name val="等线"/>
      <family val="4"/>
      <charset val="134"/>
      <scheme val="minor"/>
    </font>
    <font>
      <sz val="10"/>
      <color rgb="FFFF0000"/>
      <name val="Arial Unicode MS"/>
      <family val="2"/>
    </font>
    <font>
      <sz val="12"/>
      <color rgb="FFC00000"/>
      <name val="等线"/>
      <family val="2"/>
      <charset val="134"/>
      <scheme val="minor"/>
    </font>
    <font>
      <sz val="12"/>
      <color rgb="FF0070C0"/>
      <name val="等线"/>
      <family val="4"/>
      <charset val="134"/>
      <scheme val="minor"/>
    </font>
    <font>
      <sz val="12"/>
      <color theme="0" tint="-0.14999847407452621"/>
      <name val="等线"/>
      <family val="4"/>
      <charset val="134"/>
      <scheme val="minor"/>
    </font>
    <font>
      <sz val="12"/>
      <color rgb="FFC00000"/>
      <name val="等线"/>
      <family val="4"/>
      <charset val="134"/>
      <scheme val="minor"/>
    </font>
    <font>
      <sz val="14"/>
      <color theme="1"/>
      <name val="等线"/>
      <family val="4"/>
      <charset val="134"/>
      <scheme val="minor"/>
    </font>
    <font>
      <sz val="10.5"/>
      <color theme="1"/>
      <name val="DengXian"/>
      <family val="4"/>
      <charset val="134"/>
    </font>
    <font>
      <sz val="10.5"/>
      <color rgb="FF000000"/>
      <name val="DengXian"/>
      <family val="4"/>
      <charset val="134"/>
    </font>
    <font>
      <sz val="14"/>
      <color rgb="FFC00000"/>
      <name val="等线 (正文)"/>
      <charset val="134"/>
    </font>
    <font>
      <sz val="14"/>
      <color rgb="FFC00000"/>
      <name val="等线"/>
      <family val="2"/>
      <charset val="134"/>
      <scheme val="minor"/>
    </font>
    <font>
      <sz val="14"/>
      <color rgb="FFC00000"/>
      <name val="等线"/>
      <family val="4"/>
      <charset val="134"/>
      <scheme val="minor"/>
    </font>
    <font>
      <b/>
      <sz val="10.5"/>
      <color theme="1"/>
      <name val="微软雅黑"/>
      <family val="2"/>
      <charset val="134"/>
    </font>
    <font>
      <b/>
      <sz val="10.5"/>
      <color theme="1"/>
      <name val="DengXian"/>
      <family val="4"/>
      <charset val="134"/>
    </font>
    <font>
      <b/>
      <sz val="12"/>
      <color theme="1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1520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59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7" fillId="0" borderId="1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8" fillId="0" borderId="0" xfId="0" applyFont="1">
      <alignment vertical="center"/>
    </xf>
    <xf numFmtId="0" fontId="0" fillId="0" borderId="0" xfId="0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/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0" fillId="0" borderId="0" xfId="0" applyAlignment="1">
      <alignment vertical="center" wrapText="1"/>
    </xf>
    <xf numFmtId="0" fontId="12" fillId="0" borderId="0" xfId="0" applyFont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>
      <alignment vertical="center"/>
    </xf>
    <xf numFmtId="0" fontId="5" fillId="4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4" fillId="0" borderId="0" xfId="0" applyFont="1">
      <alignment vertical="center"/>
    </xf>
    <xf numFmtId="0" fontId="14" fillId="5" borderId="0" xfId="0" applyFont="1" applyFill="1">
      <alignment vertical="center"/>
    </xf>
    <xf numFmtId="0" fontId="14" fillId="6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14" fillId="2" borderId="0" xfId="0" applyFont="1" applyFill="1">
      <alignment vertical="center"/>
    </xf>
    <xf numFmtId="0" fontId="16" fillId="0" borderId="0" xfId="0" applyFont="1">
      <alignment vertical="center"/>
    </xf>
    <xf numFmtId="0" fontId="18" fillId="0" borderId="0" xfId="0" applyFont="1">
      <alignment vertical="center"/>
    </xf>
    <xf numFmtId="0" fontId="18" fillId="2" borderId="0" xfId="0" applyFont="1" applyFill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5" fillId="0" borderId="0" xfId="0" applyFont="1">
      <alignment vertical="center"/>
    </xf>
    <xf numFmtId="0" fontId="2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0" fillId="0" borderId="0" xfId="0" applyFont="1" applyAlignment="1">
      <alignment horizontal="left" vertical="center"/>
    </xf>
    <xf numFmtId="3" fontId="10" fillId="0" borderId="0" xfId="0" applyNumberFormat="1" applyFon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26" fillId="0" borderId="0" xfId="0" applyFont="1" applyFill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5" fillId="0" borderId="0" xfId="0" applyFont="1" applyAlignment="1">
      <alignment horizontal="right" vertical="center"/>
    </xf>
    <xf numFmtId="3" fontId="25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vertical="center"/>
    </xf>
    <xf numFmtId="0" fontId="30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29" fillId="0" borderId="0" xfId="0" applyFont="1" applyAlignment="1">
      <alignment horizontal="center" vertical="center"/>
    </xf>
    <xf numFmtId="0" fontId="33" fillId="0" borderId="0" xfId="0" applyFont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49" fontId="0" fillId="0" borderId="4" xfId="0" applyNumberFormat="1" applyBorder="1">
      <alignment vertical="center"/>
    </xf>
    <xf numFmtId="0" fontId="0" fillId="0" borderId="5" xfId="0" applyBorder="1">
      <alignment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0" fontId="0" fillId="0" borderId="2" xfId="0" applyBorder="1" applyAlignment="1">
      <alignment vertical="center"/>
    </xf>
    <xf numFmtId="0" fontId="0" fillId="0" borderId="2" xfId="0" applyBorder="1">
      <alignment vertical="center"/>
    </xf>
    <xf numFmtId="49" fontId="0" fillId="0" borderId="3" xfId="0" applyNumberFormat="1" applyBorder="1">
      <alignment vertical="center"/>
    </xf>
    <xf numFmtId="0" fontId="0" fillId="0" borderId="0" xfId="0" applyBorder="1">
      <alignment vertical="center"/>
    </xf>
    <xf numFmtId="0" fontId="29" fillId="0" borderId="5" xfId="0" applyFont="1" applyBorder="1" applyAlignment="1">
      <alignment horizontal="left" vertical="center"/>
    </xf>
    <xf numFmtId="0" fontId="29" fillId="0" borderId="4" xfId="0" applyFont="1" applyBorder="1">
      <alignment vertical="center"/>
    </xf>
    <xf numFmtId="0" fontId="10" fillId="0" borderId="0" xfId="0" applyFont="1" applyAlignment="1">
      <alignment vertical="center" wrapText="1"/>
    </xf>
    <xf numFmtId="0" fontId="0" fillId="0" borderId="5" xfId="0" applyBorder="1" applyAlignment="1">
      <alignment horizontal="left"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8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29" fillId="0" borderId="5" xfId="0" applyFont="1" applyBorder="1">
      <alignment vertical="center"/>
    </xf>
    <xf numFmtId="0" fontId="0" fillId="0" borderId="13" xfId="0" applyBorder="1">
      <alignment vertical="center"/>
    </xf>
    <xf numFmtId="0" fontId="0" fillId="0" borderId="8" xfId="0" applyBorder="1" applyAlignment="1">
      <alignment vertical="center"/>
    </xf>
    <xf numFmtId="0" fontId="0" fillId="0" borderId="14" xfId="0" applyBorder="1" applyAlignment="1">
      <alignment horizontal="right" vertical="center"/>
    </xf>
    <xf numFmtId="0" fontId="0" fillId="0" borderId="13" xfId="0" applyBorder="1" applyAlignment="1">
      <alignment horizontal="right" vertical="center"/>
    </xf>
    <xf numFmtId="0" fontId="0" fillId="0" borderId="0" xfId="0" quotePrefix="1">
      <alignment vertical="center"/>
    </xf>
    <xf numFmtId="49" fontId="0" fillId="0" borderId="0" xfId="0" quotePrefix="1" applyNumberFormat="1">
      <alignment vertical="center"/>
    </xf>
    <xf numFmtId="0" fontId="34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35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right" vertical="center"/>
    </xf>
    <xf numFmtId="0" fontId="36" fillId="0" borderId="0" xfId="0" applyFont="1">
      <alignment vertical="center"/>
    </xf>
    <xf numFmtId="0" fontId="36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9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29" fillId="0" borderId="0" xfId="0" applyFont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29" fillId="0" borderId="2" xfId="0" applyFont="1" applyBorder="1" applyAlignment="1">
      <alignment horizontal="left" vertical="center"/>
    </xf>
    <xf numFmtId="0" fontId="29" fillId="0" borderId="3" xfId="0" applyFont="1" applyBorder="1">
      <alignment vertical="center"/>
    </xf>
    <xf numFmtId="0" fontId="33" fillId="0" borderId="3" xfId="0" applyFont="1" applyBorder="1" applyAlignment="1">
      <alignment horizontal="right" vertical="center" wrapText="1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33" fillId="0" borderId="0" xfId="0" applyFont="1" applyBorder="1" applyAlignment="1">
      <alignment horizontal="center" vertical="center" wrapText="1"/>
    </xf>
    <xf numFmtId="0" fontId="37" fillId="0" borderId="0" xfId="0" applyFont="1">
      <alignment vertical="center"/>
    </xf>
    <xf numFmtId="0" fontId="38" fillId="0" borderId="0" xfId="0" applyFont="1">
      <alignment vertical="center"/>
    </xf>
    <xf numFmtId="0" fontId="38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/>
    </xf>
    <xf numFmtId="0" fontId="29" fillId="0" borderId="0" xfId="0" applyFont="1" applyAlignment="1">
      <alignment horizontal="right" vertical="center"/>
    </xf>
    <xf numFmtId="0" fontId="39" fillId="0" borderId="0" xfId="0" applyFont="1" applyAlignment="1">
      <alignment horizontal="right" vertical="center"/>
    </xf>
    <xf numFmtId="0" fontId="40" fillId="0" borderId="0" xfId="0" applyFont="1" applyAlignment="1">
      <alignment horizontal="right" vertical="center"/>
    </xf>
    <xf numFmtId="0" fontId="41" fillId="0" borderId="0" xfId="0" applyFont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4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3" fillId="0" borderId="0" xfId="1519">
      <alignment vertical="center"/>
    </xf>
    <xf numFmtId="0" fontId="0" fillId="0" borderId="0" xfId="0" applyAlignment="1">
      <alignment horizontal="left" vertical="center"/>
    </xf>
    <xf numFmtId="0" fontId="29" fillId="0" borderId="0" xfId="0" applyFont="1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8" xfId="0" applyBorder="1" applyAlignment="1">
      <alignment vertical="center" wrapText="1"/>
    </xf>
    <xf numFmtId="0" fontId="0" fillId="0" borderId="12" xfId="0" applyBorder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45" fillId="0" borderId="0" xfId="0" applyFont="1" applyAlignment="1">
      <alignment vertical="center" wrapText="1"/>
    </xf>
    <xf numFmtId="0" fontId="48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49" fontId="0" fillId="0" borderId="2" xfId="0" applyNumberFormat="1" applyBorder="1">
      <alignment vertical="center"/>
    </xf>
    <xf numFmtId="0" fontId="0" fillId="0" borderId="2" xfId="0" applyBorder="1" applyAlignment="1">
      <alignment vertical="center" wrapText="1"/>
    </xf>
    <xf numFmtId="0" fontId="43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/>
    <xf numFmtId="0" fontId="44" fillId="0" borderId="0" xfId="0" applyFont="1" applyAlignment="1">
      <alignment horizontal="right" vertical="center" wrapText="1"/>
    </xf>
    <xf numFmtId="0" fontId="0" fillId="0" borderId="0" xfId="0" applyBorder="1" applyAlignment="1">
      <alignment horizontal="center" vertical="center" wrapText="1"/>
    </xf>
    <xf numFmtId="0" fontId="47" fillId="0" borderId="2" xfId="0" applyFont="1" applyBorder="1" applyAlignment="1">
      <alignment horizontal="center" vertical="center"/>
    </xf>
    <xf numFmtId="0" fontId="44" fillId="0" borderId="2" xfId="0" applyFont="1" applyBorder="1" applyAlignment="1">
      <alignment horizontal="right" vertical="center" wrapText="1"/>
    </xf>
    <xf numFmtId="0" fontId="44" fillId="0" borderId="2" xfId="0" applyFont="1" applyBorder="1" applyAlignment="1">
      <alignment vertical="center" wrapText="1"/>
    </xf>
    <xf numFmtId="0" fontId="48" fillId="0" borderId="2" xfId="0" applyFont="1" applyBorder="1" applyAlignment="1">
      <alignment horizontal="center" vertical="center"/>
    </xf>
    <xf numFmtId="49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49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4" fillId="0" borderId="2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0" fontId="0" fillId="0" borderId="7" xfId="0" applyBorder="1" applyAlignment="1">
      <alignment horizontal="right" vertical="center"/>
    </xf>
    <xf numFmtId="0" fontId="0" fillId="0" borderId="11" xfId="0" applyBorder="1" applyAlignment="1">
      <alignment vertical="center" wrapText="1"/>
    </xf>
    <xf numFmtId="0" fontId="50" fillId="0" borderId="2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3" fillId="0" borderId="0" xfId="0" applyFont="1" applyAlignment="1">
      <alignment horizontal="left" vertical="center"/>
    </xf>
    <xf numFmtId="0" fontId="0" fillId="0" borderId="0" xfId="0" applyBorder="1" applyAlignment="1">
      <alignment vertical="center" wrapText="1"/>
    </xf>
    <xf numFmtId="0" fontId="0" fillId="0" borderId="11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49" fontId="0" fillId="0" borderId="8" xfId="0" applyNumberFormat="1" applyBorder="1" applyAlignment="1">
      <alignment vertical="center" wrapText="1"/>
    </xf>
    <xf numFmtId="49" fontId="0" fillId="0" borderId="12" xfId="0" applyNumberFormat="1" applyBorder="1" applyAlignment="1">
      <alignment vertical="center" wrapText="1"/>
    </xf>
    <xf numFmtId="0" fontId="0" fillId="0" borderId="12" xfId="0" applyBorder="1" applyAlignment="1">
      <alignment horizontal="left" vertical="center" wrapText="1"/>
    </xf>
    <xf numFmtId="49" fontId="0" fillId="0" borderId="2" xfId="0" applyNumberFormat="1" applyBorder="1" applyAlignment="1">
      <alignment vertical="center" wrapText="1"/>
    </xf>
    <xf numFmtId="0" fontId="50" fillId="0" borderId="7" xfId="0" applyFont="1" applyBorder="1" applyAlignment="1">
      <alignment horizontal="center" vertical="center" wrapText="1"/>
    </xf>
    <xf numFmtId="0" fontId="43" fillId="0" borderId="3" xfId="0" applyFont="1" applyBorder="1" applyAlignment="1">
      <alignment horizontal="center" vertical="center"/>
    </xf>
    <xf numFmtId="0" fontId="43" fillId="0" borderId="5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49" fontId="0" fillId="0" borderId="5" xfId="0" applyNumberFormat="1" applyBorder="1">
      <alignment vertical="center"/>
    </xf>
    <xf numFmtId="0" fontId="0" fillId="0" borderId="7" xfId="0" applyBorder="1" applyAlignment="1">
      <alignment horizontal="left" vertical="center" wrapText="1"/>
    </xf>
    <xf numFmtId="49" fontId="33" fillId="0" borderId="2" xfId="0" applyNumberFormat="1" applyFont="1" applyBorder="1">
      <alignment vertical="center"/>
    </xf>
    <xf numFmtId="49" fontId="52" fillId="0" borderId="3" xfId="0" applyNumberFormat="1" applyFont="1" applyBorder="1">
      <alignment vertical="center"/>
    </xf>
    <xf numFmtId="49" fontId="52" fillId="0" borderId="4" xfId="0" applyNumberFormat="1" applyFont="1" applyBorder="1">
      <alignment vertical="center"/>
    </xf>
    <xf numFmtId="0" fontId="52" fillId="0" borderId="4" xfId="0" applyNumberFormat="1" applyFont="1" applyBorder="1" applyAlignment="1">
      <alignment horizontal="left" vertical="center"/>
    </xf>
    <xf numFmtId="0" fontId="53" fillId="0" borderId="4" xfId="0" applyNumberFormat="1" applyFont="1" applyBorder="1" applyAlignment="1">
      <alignment horizontal="left" vertical="center"/>
    </xf>
    <xf numFmtId="0" fontId="52" fillId="0" borderId="5" xfId="0" applyNumberFormat="1" applyFont="1" applyBorder="1" applyAlignment="1">
      <alignment horizontal="left" vertical="center"/>
    </xf>
    <xf numFmtId="0" fontId="52" fillId="0" borderId="3" xfId="0" applyNumberFormat="1" applyFont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49" fontId="0" fillId="0" borderId="3" xfId="0" applyNumberFormat="1" applyBorder="1" applyAlignment="1">
      <alignment horizontal="left" vertical="center" wrapText="1"/>
    </xf>
    <xf numFmtId="49" fontId="0" fillId="0" borderId="4" xfId="0" applyNumberFormat="1" applyBorder="1" applyAlignment="1">
      <alignment horizontal="left" vertical="center" wrapText="1"/>
    </xf>
    <xf numFmtId="0" fontId="29" fillId="0" borderId="1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3" fillId="0" borderId="4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4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</cellXfs>
  <cellStyles count="1520">
    <cellStyle name="常规" xfId="0" builtinId="0"/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 hidden="1"/>
    <cellStyle name="超链接" xfId="17" builtinId="8" hidden="1"/>
    <cellStyle name="超链接" xfId="19" builtinId="8" hidden="1"/>
    <cellStyle name="超链接" xfId="21" builtinId="8" hidden="1"/>
    <cellStyle name="超链接" xfId="23" builtinId="8" hidden="1"/>
    <cellStyle name="超链接" xfId="25" builtinId="8" hidden="1"/>
    <cellStyle name="超链接" xfId="27" builtinId="8" hidden="1"/>
    <cellStyle name="超链接" xfId="29" builtinId="8" hidden="1"/>
    <cellStyle name="超链接" xfId="31" builtinId="8" hidden="1"/>
    <cellStyle name="超链接" xfId="33" builtinId="8" hidden="1"/>
    <cellStyle name="超链接" xfId="35" builtinId="8" hidden="1"/>
    <cellStyle name="超链接" xfId="37" builtinId="8" hidden="1"/>
    <cellStyle name="超链接" xfId="39" builtinId="8" hidden="1"/>
    <cellStyle name="超链接" xfId="41" builtinId="8" hidden="1"/>
    <cellStyle name="超链接" xfId="43" builtinId="8" hidden="1"/>
    <cellStyle name="超链接" xfId="45" builtinId="8" hidden="1"/>
    <cellStyle name="超链接" xfId="47" builtinId="8" hidden="1"/>
    <cellStyle name="超链接" xfId="49" builtinId="8" hidden="1"/>
    <cellStyle name="超链接" xfId="51" builtinId="8" hidden="1"/>
    <cellStyle name="超链接" xfId="53" builtinId="8" hidden="1"/>
    <cellStyle name="超链接" xfId="55" builtinId="8" hidden="1"/>
    <cellStyle name="超链接" xfId="57" builtinId="8" hidden="1"/>
    <cellStyle name="超链接" xfId="59" builtinId="8" hidden="1"/>
    <cellStyle name="超链接" xfId="61" builtinId="8" hidden="1"/>
    <cellStyle name="超链接" xfId="63" builtinId="8" hidden="1"/>
    <cellStyle name="超链接" xfId="65" builtinId="8" hidden="1"/>
    <cellStyle name="超链接" xfId="67" builtinId="8" hidden="1"/>
    <cellStyle name="超链接" xfId="69" builtinId="8" hidden="1"/>
    <cellStyle name="超链接" xfId="71" builtinId="8" hidden="1"/>
    <cellStyle name="超链接" xfId="73" builtinId="8" hidden="1"/>
    <cellStyle name="超链接" xfId="75" builtinId="8" hidden="1"/>
    <cellStyle name="超链接" xfId="77" builtinId="8" hidden="1"/>
    <cellStyle name="超链接" xfId="79" builtinId="8" hidden="1"/>
    <cellStyle name="超链接" xfId="81" builtinId="8" hidden="1"/>
    <cellStyle name="超链接" xfId="83" builtinId="8" hidden="1"/>
    <cellStyle name="超链接" xfId="85" builtinId="8" hidden="1"/>
    <cellStyle name="超链接" xfId="87" builtinId="8" hidden="1"/>
    <cellStyle name="超链接" xfId="89" builtinId="8" hidden="1"/>
    <cellStyle name="超链接" xfId="91" builtinId="8" hidden="1"/>
    <cellStyle name="超链接" xfId="93" builtinId="8" hidden="1"/>
    <cellStyle name="超链接" xfId="95" builtinId="8" hidden="1"/>
    <cellStyle name="超链接" xfId="97" builtinId="8" hidden="1"/>
    <cellStyle name="超链接" xfId="99" builtinId="8" hidden="1"/>
    <cellStyle name="超链接" xfId="101" builtinId="8" hidden="1"/>
    <cellStyle name="超链接" xfId="103" builtinId="8" hidden="1"/>
    <cellStyle name="超链接" xfId="105" builtinId="8" hidden="1"/>
    <cellStyle name="超链接" xfId="107" builtinId="8" hidden="1"/>
    <cellStyle name="超链接" xfId="109" builtinId="8" hidden="1"/>
    <cellStyle name="超链接" xfId="111" builtinId="8" hidden="1"/>
    <cellStyle name="超链接" xfId="113" builtinId="8" hidden="1"/>
    <cellStyle name="超链接" xfId="115" builtinId="8" hidden="1"/>
    <cellStyle name="超链接" xfId="117" builtinId="8" hidden="1"/>
    <cellStyle name="超链接" xfId="119" builtinId="8" hidden="1"/>
    <cellStyle name="超链接" xfId="121" builtinId="8" hidden="1"/>
    <cellStyle name="超链接" xfId="123" builtinId="8" hidden="1"/>
    <cellStyle name="超链接" xfId="125" builtinId="8" hidden="1"/>
    <cellStyle name="超链接" xfId="127" builtinId="8" hidden="1"/>
    <cellStyle name="超链接" xfId="129" builtinId="8" hidden="1"/>
    <cellStyle name="超链接" xfId="131" builtinId="8" hidden="1"/>
    <cellStyle name="超链接" xfId="133" builtinId="8" hidden="1"/>
    <cellStyle name="超链接" xfId="135" builtinId="8" hidden="1"/>
    <cellStyle name="超链接" xfId="137" builtinId="8" hidden="1"/>
    <cellStyle name="超链接" xfId="139" builtinId="8" hidden="1"/>
    <cellStyle name="超链接" xfId="141" builtinId="8" hidden="1"/>
    <cellStyle name="超链接" xfId="143" builtinId="8" hidden="1"/>
    <cellStyle name="超链接" xfId="145" builtinId="8" hidden="1"/>
    <cellStyle name="超链接" xfId="147" builtinId="8" hidden="1"/>
    <cellStyle name="超链接" xfId="149" builtinId="8" hidden="1"/>
    <cellStyle name="超链接" xfId="151" builtinId="8" hidden="1"/>
    <cellStyle name="超链接" xfId="153" builtinId="8" hidden="1"/>
    <cellStyle name="超链接" xfId="155" builtinId="8" hidden="1"/>
    <cellStyle name="超链接" xfId="157" builtinId="8" hidden="1"/>
    <cellStyle name="超链接" xfId="159" builtinId="8" hidden="1"/>
    <cellStyle name="超链接" xfId="161" builtinId="8" hidden="1"/>
    <cellStyle name="超链接" xfId="163" builtinId="8" hidden="1"/>
    <cellStyle name="超链接" xfId="165" builtinId="8" hidden="1"/>
    <cellStyle name="超链接" xfId="167" builtinId="8" hidden="1"/>
    <cellStyle name="超链接" xfId="169" builtinId="8" hidden="1"/>
    <cellStyle name="超链接" xfId="171" builtinId="8" hidden="1"/>
    <cellStyle name="超链接" xfId="173" builtinId="8" hidden="1"/>
    <cellStyle name="超链接" xfId="175" builtinId="8" hidden="1"/>
    <cellStyle name="超链接" xfId="177" builtinId="8" hidden="1"/>
    <cellStyle name="超链接" xfId="179" builtinId="8" hidden="1"/>
    <cellStyle name="超链接" xfId="181" builtinId="8" hidden="1"/>
    <cellStyle name="超链接" xfId="183" builtinId="8" hidden="1"/>
    <cellStyle name="超链接" xfId="185" builtinId="8" hidden="1"/>
    <cellStyle name="超链接" xfId="187" builtinId="8" hidden="1"/>
    <cellStyle name="超链接" xfId="189" builtinId="8" hidden="1"/>
    <cellStyle name="超链接" xfId="191" builtinId="8" hidden="1"/>
    <cellStyle name="超链接" xfId="193" builtinId="8" hidden="1"/>
    <cellStyle name="超链接" xfId="195" builtinId="8" hidden="1"/>
    <cellStyle name="超链接" xfId="197" builtinId="8" hidden="1"/>
    <cellStyle name="超链接" xfId="199" builtinId="8" hidden="1"/>
    <cellStyle name="超链接" xfId="201" builtinId="8" hidden="1"/>
    <cellStyle name="超链接" xfId="203" builtinId="8" hidden="1"/>
    <cellStyle name="超链接" xfId="205" builtinId="8" hidden="1"/>
    <cellStyle name="超链接" xfId="207" builtinId="8" hidden="1"/>
    <cellStyle name="超链接" xfId="209" builtinId="8" hidden="1"/>
    <cellStyle name="超链接" xfId="211" builtinId="8" hidden="1"/>
    <cellStyle name="超链接" xfId="213" builtinId="8" hidden="1"/>
    <cellStyle name="超链接" xfId="215" builtinId="8" hidden="1"/>
    <cellStyle name="超链接" xfId="217" builtinId="8" hidden="1"/>
    <cellStyle name="超链接" xfId="219" builtinId="8" hidden="1"/>
    <cellStyle name="超链接" xfId="221" builtinId="8" hidden="1"/>
    <cellStyle name="超链接" xfId="223" builtinId="8" hidden="1"/>
    <cellStyle name="超链接" xfId="225" builtinId="8" hidden="1"/>
    <cellStyle name="超链接" xfId="227" builtinId="8" hidden="1"/>
    <cellStyle name="超链接" xfId="229" builtinId="8" hidden="1"/>
    <cellStyle name="超链接" xfId="231" builtinId="8" hidden="1"/>
    <cellStyle name="超链接" xfId="233" builtinId="8" hidden="1"/>
    <cellStyle name="超链接" xfId="235" builtinId="8" hidden="1"/>
    <cellStyle name="超链接" xfId="237" builtinId="8" hidden="1"/>
    <cellStyle name="超链接" xfId="239" builtinId="8" hidden="1"/>
    <cellStyle name="超链接" xfId="241" builtinId="8" hidden="1"/>
    <cellStyle name="超链接" xfId="243" builtinId="8" hidden="1"/>
    <cellStyle name="超链接" xfId="245" builtinId="8" hidden="1"/>
    <cellStyle name="超链接" xfId="247" builtinId="8" hidden="1"/>
    <cellStyle name="超链接" xfId="249" builtinId="8" hidden="1"/>
    <cellStyle name="超链接" xfId="251" builtinId="8" hidden="1"/>
    <cellStyle name="超链接" xfId="253" builtinId="8" hidden="1"/>
    <cellStyle name="超链接" xfId="255" builtinId="8" hidden="1"/>
    <cellStyle name="超链接" xfId="257" builtinId="8" hidden="1"/>
    <cellStyle name="超链接" xfId="259" builtinId="8" hidden="1"/>
    <cellStyle name="超链接" xfId="261" builtinId="8" hidden="1"/>
    <cellStyle name="超链接" xfId="263" builtinId="8" hidden="1"/>
    <cellStyle name="超链接" xfId="265" builtinId="8" hidden="1"/>
    <cellStyle name="超链接" xfId="267" builtinId="8" hidden="1"/>
    <cellStyle name="超链接" xfId="269" builtinId="8" hidden="1"/>
    <cellStyle name="超链接" xfId="271" builtinId="8" hidden="1"/>
    <cellStyle name="超链接" xfId="273" builtinId="8" hidden="1"/>
    <cellStyle name="超链接" xfId="275" builtinId="8" hidden="1"/>
    <cellStyle name="超链接" xfId="277" builtinId="8" hidden="1"/>
    <cellStyle name="超链接" xfId="279" builtinId="8" hidden="1"/>
    <cellStyle name="超链接" xfId="281" builtinId="8" hidden="1"/>
    <cellStyle name="超链接" xfId="283" builtinId="8" hidden="1"/>
    <cellStyle name="超链接" xfId="285" builtinId="8" hidden="1"/>
    <cellStyle name="超链接" xfId="287" builtinId="8" hidden="1"/>
    <cellStyle name="超链接" xfId="289" builtinId="8" hidden="1"/>
    <cellStyle name="超链接" xfId="291" builtinId="8" hidden="1"/>
    <cellStyle name="超链接" xfId="293" builtinId="8" hidden="1"/>
    <cellStyle name="超链接" xfId="295" builtinId="8" hidden="1"/>
    <cellStyle name="超链接" xfId="297" builtinId="8" hidden="1"/>
    <cellStyle name="超链接" xfId="299" builtinId="8" hidden="1"/>
    <cellStyle name="超链接" xfId="301" builtinId="8" hidden="1"/>
    <cellStyle name="超链接" xfId="303" builtinId="8" hidden="1"/>
    <cellStyle name="超链接" xfId="305" builtinId="8" hidden="1"/>
    <cellStyle name="超链接" xfId="307" builtinId="8" hidden="1"/>
    <cellStyle name="超链接" xfId="309" builtinId="8" hidden="1"/>
    <cellStyle name="超链接" xfId="311" builtinId="8" hidden="1"/>
    <cellStyle name="超链接" xfId="313" builtinId="8" hidden="1"/>
    <cellStyle name="超链接" xfId="315" builtinId="8" hidden="1"/>
    <cellStyle name="超链接" xfId="317" builtinId="8" hidden="1"/>
    <cellStyle name="超链接" xfId="319" builtinId="8" hidden="1"/>
    <cellStyle name="超链接" xfId="321" builtinId="8" hidden="1"/>
    <cellStyle name="超链接" xfId="323" builtinId="8" hidden="1"/>
    <cellStyle name="超链接" xfId="325" builtinId="8" hidden="1"/>
    <cellStyle name="超链接" xfId="327" builtinId="8" hidden="1"/>
    <cellStyle name="超链接" xfId="329" builtinId="8" hidden="1"/>
    <cellStyle name="超链接" xfId="331" builtinId="8" hidden="1"/>
    <cellStyle name="超链接" xfId="333" builtinId="8" hidden="1"/>
    <cellStyle name="超链接" xfId="335" builtinId="8" hidden="1"/>
    <cellStyle name="超链接" xfId="337" builtinId="8" hidden="1"/>
    <cellStyle name="超链接" xfId="339" builtinId="8" hidden="1"/>
    <cellStyle name="超链接" xfId="341" builtinId="8" hidden="1"/>
    <cellStyle name="超链接" xfId="343" builtinId="8" hidden="1"/>
    <cellStyle name="超链接" xfId="345" builtinId="8" hidden="1"/>
    <cellStyle name="超链接" xfId="347" builtinId="8" hidden="1"/>
    <cellStyle name="超链接" xfId="349" builtinId="8" hidden="1"/>
    <cellStyle name="超链接" xfId="351" builtinId="8" hidden="1"/>
    <cellStyle name="超链接" xfId="353" builtinId="8" hidden="1"/>
    <cellStyle name="超链接" xfId="355" builtinId="8" hidden="1"/>
    <cellStyle name="超链接" xfId="357" builtinId="8" hidden="1"/>
    <cellStyle name="超链接" xfId="359" builtinId="8" hidden="1"/>
    <cellStyle name="超链接" xfId="361" builtinId="8" hidden="1"/>
    <cellStyle name="超链接" xfId="363" builtinId="8" hidden="1"/>
    <cellStyle name="超链接" xfId="365" builtinId="8" hidden="1"/>
    <cellStyle name="超链接" xfId="367" builtinId="8" hidden="1"/>
    <cellStyle name="超链接" xfId="369" builtinId="8" hidden="1"/>
    <cellStyle name="超链接" xfId="371" builtinId="8" hidden="1"/>
    <cellStyle name="超链接" xfId="373" builtinId="8" hidden="1"/>
    <cellStyle name="超链接" xfId="375" builtinId="8" hidden="1"/>
    <cellStyle name="超链接" xfId="377" builtinId="8" hidden="1"/>
    <cellStyle name="超链接" xfId="379" builtinId="8" hidden="1"/>
    <cellStyle name="超链接" xfId="381" builtinId="8" hidden="1"/>
    <cellStyle name="超链接" xfId="383" builtinId="8" hidden="1"/>
    <cellStyle name="超链接" xfId="385" builtinId="8" hidden="1"/>
    <cellStyle name="超链接" xfId="387" builtinId="8" hidden="1"/>
    <cellStyle name="超链接" xfId="389" builtinId="8" hidden="1"/>
    <cellStyle name="超链接" xfId="391" builtinId="8" hidden="1"/>
    <cellStyle name="超链接" xfId="393" builtinId="8" hidden="1"/>
    <cellStyle name="超链接" xfId="395" builtinId="8" hidden="1"/>
    <cellStyle name="超链接" xfId="397" builtinId="8" hidden="1"/>
    <cellStyle name="超链接" xfId="399" builtinId="8" hidden="1"/>
    <cellStyle name="超链接" xfId="401" builtinId="8" hidden="1"/>
    <cellStyle name="超链接" xfId="403" builtinId="8" hidden="1"/>
    <cellStyle name="超链接" xfId="405" builtinId="8" hidden="1"/>
    <cellStyle name="超链接" xfId="407" builtinId="8" hidden="1"/>
    <cellStyle name="超链接" xfId="409" builtinId="8" hidden="1"/>
    <cellStyle name="超链接" xfId="411" builtinId="8" hidden="1"/>
    <cellStyle name="超链接" xfId="413" builtinId="8" hidden="1"/>
    <cellStyle name="超链接" xfId="415" builtinId="8" hidden="1"/>
    <cellStyle name="超链接" xfId="417" builtinId="8" hidden="1"/>
    <cellStyle name="超链接" xfId="419" builtinId="8" hidden="1"/>
    <cellStyle name="超链接" xfId="421" builtinId="8" hidden="1"/>
    <cellStyle name="超链接" xfId="423" builtinId="8" hidden="1"/>
    <cellStyle name="超链接" xfId="425" builtinId="8" hidden="1"/>
    <cellStyle name="超链接" xfId="427" builtinId="8" hidden="1"/>
    <cellStyle name="超链接" xfId="429" builtinId="8" hidden="1"/>
    <cellStyle name="超链接" xfId="431" builtinId="8" hidden="1"/>
    <cellStyle name="超链接" xfId="433" builtinId="8" hidden="1"/>
    <cellStyle name="超链接" xfId="435" builtinId="8" hidden="1"/>
    <cellStyle name="超链接" xfId="437" builtinId="8" hidden="1"/>
    <cellStyle name="超链接" xfId="439" builtinId="8" hidden="1"/>
    <cellStyle name="超链接" xfId="441" builtinId="8" hidden="1"/>
    <cellStyle name="超链接" xfId="443" builtinId="8" hidden="1"/>
    <cellStyle name="超链接" xfId="445" builtinId="8" hidden="1"/>
    <cellStyle name="超链接" xfId="447" builtinId="8" hidden="1"/>
    <cellStyle name="超链接" xfId="449" builtinId="8" hidden="1"/>
    <cellStyle name="超链接" xfId="451" builtinId="8" hidden="1"/>
    <cellStyle name="超链接" xfId="453" builtinId="8" hidden="1"/>
    <cellStyle name="超链接" xfId="455" builtinId="8" hidden="1"/>
    <cellStyle name="超链接" xfId="457" builtinId="8" hidden="1"/>
    <cellStyle name="超链接" xfId="459" builtinId="8" hidden="1"/>
    <cellStyle name="超链接" xfId="461" builtinId="8" hidden="1"/>
    <cellStyle name="超链接" xfId="463" builtinId="8" hidden="1"/>
    <cellStyle name="超链接" xfId="465" builtinId="8" hidden="1"/>
    <cellStyle name="超链接" xfId="467" builtinId="8" hidden="1"/>
    <cellStyle name="超链接" xfId="469" builtinId="8" hidden="1"/>
    <cellStyle name="超链接" xfId="471" builtinId="8" hidden="1"/>
    <cellStyle name="超链接" xfId="473" builtinId="8" hidden="1"/>
    <cellStyle name="超链接" xfId="475" builtinId="8" hidden="1"/>
    <cellStyle name="超链接" xfId="477" builtinId="8" hidden="1"/>
    <cellStyle name="超链接" xfId="479" builtinId="8" hidden="1"/>
    <cellStyle name="超链接" xfId="481" builtinId="8" hidden="1"/>
    <cellStyle name="超链接" xfId="483" builtinId="8" hidden="1"/>
    <cellStyle name="超链接" xfId="485" builtinId="8" hidden="1"/>
    <cellStyle name="超链接" xfId="487" builtinId="8" hidden="1"/>
    <cellStyle name="超链接" xfId="489" builtinId="8" hidden="1"/>
    <cellStyle name="超链接" xfId="491" builtinId="8" hidden="1"/>
    <cellStyle name="超链接" xfId="493" builtinId="8" hidden="1"/>
    <cellStyle name="超链接" xfId="495" builtinId="8" hidden="1"/>
    <cellStyle name="超链接" xfId="497" builtinId="8" hidden="1"/>
    <cellStyle name="超链接" xfId="499" builtinId="8" hidden="1"/>
    <cellStyle name="超链接" xfId="501" builtinId="8" hidden="1"/>
    <cellStyle name="超链接" xfId="503" builtinId="8" hidden="1"/>
    <cellStyle name="超链接" xfId="505" builtinId="8" hidden="1"/>
    <cellStyle name="超链接" xfId="507" builtinId="8" hidden="1"/>
    <cellStyle name="超链接" xfId="509" builtinId="8" hidden="1"/>
    <cellStyle name="超链接" xfId="511" builtinId="8" hidden="1"/>
    <cellStyle name="超链接" xfId="513" builtinId="8" hidden="1"/>
    <cellStyle name="超链接" xfId="515" builtinId="8" hidden="1"/>
    <cellStyle name="超链接" xfId="517" builtinId="8" hidden="1"/>
    <cellStyle name="超链接" xfId="519" builtinId="8" hidden="1"/>
    <cellStyle name="超链接" xfId="521" builtinId="8" hidden="1"/>
    <cellStyle name="超链接" xfId="523" builtinId="8" hidden="1"/>
    <cellStyle name="超链接" xfId="525" builtinId="8" hidden="1"/>
    <cellStyle name="超链接" xfId="527" builtinId="8" hidden="1"/>
    <cellStyle name="超链接" xfId="529" builtinId="8" hidden="1"/>
    <cellStyle name="超链接" xfId="531" builtinId="8" hidden="1"/>
    <cellStyle name="超链接" xfId="533" builtinId="8" hidden="1"/>
    <cellStyle name="超链接" xfId="535" builtinId="8" hidden="1"/>
    <cellStyle name="超链接" xfId="537" builtinId="8" hidden="1"/>
    <cellStyle name="超链接" xfId="539" builtinId="8" hidden="1"/>
    <cellStyle name="超链接" xfId="541" builtinId="8" hidden="1"/>
    <cellStyle name="超链接" xfId="543" builtinId="8" hidden="1"/>
    <cellStyle name="超链接" xfId="545" builtinId="8" hidden="1"/>
    <cellStyle name="超链接" xfId="547" builtinId="8" hidden="1"/>
    <cellStyle name="超链接" xfId="549" builtinId="8" hidden="1"/>
    <cellStyle name="超链接" xfId="551" builtinId="8" hidden="1"/>
    <cellStyle name="超链接" xfId="553" builtinId="8" hidden="1"/>
    <cellStyle name="超链接" xfId="555" builtinId="8" hidden="1"/>
    <cellStyle name="超链接" xfId="557" builtinId="8" hidden="1"/>
    <cellStyle name="超链接" xfId="559" builtinId="8" hidden="1"/>
    <cellStyle name="超链接" xfId="561" builtinId="8" hidden="1"/>
    <cellStyle name="超链接" xfId="563" builtinId="8" hidden="1"/>
    <cellStyle name="超链接" xfId="565" builtinId="8" hidden="1"/>
    <cellStyle name="超链接" xfId="567" builtinId="8" hidden="1"/>
    <cellStyle name="超链接" xfId="569" builtinId="8" hidden="1"/>
    <cellStyle name="超链接" xfId="571" builtinId="8" hidden="1"/>
    <cellStyle name="超链接" xfId="573" builtinId="8" hidden="1"/>
    <cellStyle name="超链接" xfId="575" builtinId="8" hidden="1"/>
    <cellStyle name="超链接" xfId="577" builtinId="8" hidden="1"/>
    <cellStyle name="超链接" xfId="579" builtinId="8" hidden="1"/>
    <cellStyle name="超链接" xfId="581" builtinId="8" hidden="1"/>
    <cellStyle name="超链接" xfId="583" builtinId="8" hidden="1"/>
    <cellStyle name="超链接" xfId="585" builtinId="8" hidden="1"/>
    <cellStyle name="超链接" xfId="587" builtinId="8" hidden="1"/>
    <cellStyle name="超链接" xfId="589" builtinId="8" hidden="1"/>
    <cellStyle name="超链接" xfId="591" builtinId="8" hidden="1"/>
    <cellStyle name="超链接" xfId="593" builtinId="8" hidden="1"/>
    <cellStyle name="超链接" xfId="595" builtinId="8" hidden="1"/>
    <cellStyle name="超链接" xfId="597" builtinId="8" hidden="1"/>
    <cellStyle name="超链接" xfId="599" builtinId="8" hidden="1"/>
    <cellStyle name="超链接" xfId="601" builtinId="8" hidden="1"/>
    <cellStyle name="超链接" xfId="603" builtinId="8" hidden="1"/>
    <cellStyle name="超链接" xfId="605" builtinId="8" hidden="1"/>
    <cellStyle name="超链接" xfId="607" builtinId="8" hidden="1"/>
    <cellStyle name="超链接" xfId="609" builtinId="8" hidden="1"/>
    <cellStyle name="超链接" xfId="611" builtinId="8" hidden="1"/>
    <cellStyle name="超链接" xfId="613" builtinId="8" hidden="1"/>
    <cellStyle name="超链接" xfId="615" builtinId="8" hidden="1"/>
    <cellStyle name="超链接" xfId="617" builtinId="8" hidden="1"/>
    <cellStyle name="超链接" xfId="619" builtinId="8" hidden="1"/>
    <cellStyle name="超链接" xfId="621" builtinId="8" hidden="1"/>
    <cellStyle name="超链接" xfId="623" builtinId="8" hidden="1"/>
    <cellStyle name="超链接" xfId="625" builtinId="8" hidden="1"/>
    <cellStyle name="超链接" xfId="627" builtinId="8" hidden="1"/>
    <cellStyle name="超链接" xfId="629" builtinId="8" hidden="1"/>
    <cellStyle name="超链接" xfId="631" builtinId="8" hidden="1"/>
    <cellStyle name="超链接" xfId="633" builtinId="8" hidden="1"/>
    <cellStyle name="超链接" xfId="635" builtinId="8" hidden="1"/>
    <cellStyle name="超链接" xfId="637" builtinId="8" hidden="1"/>
    <cellStyle name="超链接" xfId="639" builtinId="8" hidden="1"/>
    <cellStyle name="超链接" xfId="641" builtinId="8" hidden="1"/>
    <cellStyle name="超链接" xfId="643" builtinId="8" hidden="1"/>
    <cellStyle name="超链接" xfId="645" builtinId="8" hidden="1"/>
    <cellStyle name="超链接" xfId="647" builtinId="8" hidden="1"/>
    <cellStyle name="超链接" xfId="649" builtinId="8" hidden="1"/>
    <cellStyle name="超链接" xfId="651" builtinId="8" hidden="1"/>
    <cellStyle name="超链接" xfId="653" builtinId="8" hidden="1"/>
    <cellStyle name="超链接" xfId="655" builtinId="8" hidden="1"/>
    <cellStyle name="超链接" xfId="657" builtinId="8" hidden="1"/>
    <cellStyle name="超链接" xfId="659" builtinId="8" hidden="1"/>
    <cellStyle name="超链接" xfId="661" builtinId="8" hidden="1"/>
    <cellStyle name="超链接" xfId="663" builtinId="8" hidden="1"/>
    <cellStyle name="超链接" xfId="665" builtinId="8" hidden="1"/>
    <cellStyle name="超链接" xfId="667" builtinId="8" hidden="1"/>
    <cellStyle name="超链接" xfId="669" builtinId="8" hidden="1"/>
    <cellStyle name="超链接" xfId="671" builtinId="8" hidden="1"/>
    <cellStyle name="超链接" xfId="673" builtinId="8" hidden="1"/>
    <cellStyle name="超链接" xfId="675" builtinId="8" hidden="1"/>
    <cellStyle name="超链接" xfId="677" builtinId="8" hidden="1"/>
    <cellStyle name="超链接" xfId="679" builtinId="8" hidden="1"/>
    <cellStyle name="超链接" xfId="681" builtinId="8" hidden="1"/>
    <cellStyle name="超链接" xfId="683" builtinId="8" hidden="1"/>
    <cellStyle name="超链接" xfId="685" builtinId="8" hidden="1"/>
    <cellStyle name="超链接" xfId="687" builtinId="8" hidden="1"/>
    <cellStyle name="超链接" xfId="689" builtinId="8" hidden="1"/>
    <cellStyle name="超链接" xfId="691" builtinId="8" hidden="1"/>
    <cellStyle name="超链接" xfId="693" builtinId="8" hidden="1"/>
    <cellStyle name="超链接" xfId="695" builtinId="8" hidden="1"/>
    <cellStyle name="超链接" xfId="697" builtinId="8" hidden="1"/>
    <cellStyle name="超链接" xfId="699" builtinId="8" hidden="1"/>
    <cellStyle name="超链接" xfId="701" builtinId="8" hidden="1"/>
    <cellStyle name="超链接" xfId="703" builtinId="8" hidden="1"/>
    <cellStyle name="超链接" xfId="705" builtinId="8" hidden="1"/>
    <cellStyle name="超链接" xfId="707" builtinId="8" hidden="1"/>
    <cellStyle name="超链接" xfId="709" builtinId="8" hidden="1"/>
    <cellStyle name="超链接" xfId="711" builtinId="8" hidden="1"/>
    <cellStyle name="超链接" xfId="713" builtinId="8" hidden="1"/>
    <cellStyle name="超链接" xfId="715" builtinId="8" hidden="1"/>
    <cellStyle name="超链接" xfId="717" builtinId="8" hidden="1"/>
    <cellStyle name="超链接" xfId="719" builtinId="8" hidden="1"/>
    <cellStyle name="超链接" xfId="721" builtinId="8" hidden="1"/>
    <cellStyle name="超链接" xfId="723" builtinId="8" hidden="1"/>
    <cellStyle name="超链接" xfId="725" builtinId="8" hidden="1"/>
    <cellStyle name="超链接" xfId="727" builtinId="8" hidden="1"/>
    <cellStyle name="超链接" xfId="729" builtinId="8" hidden="1"/>
    <cellStyle name="超链接" xfId="731" builtinId="8" hidden="1"/>
    <cellStyle name="超链接" xfId="733" builtinId="8" hidden="1"/>
    <cellStyle name="超链接" xfId="735" builtinId="8" hidden="1"/>
    <cellStyle name="超链接" xfId="737" builtinId="8" hidden="1"/>
    <cellStyle name="超链接" xfId="739" builtinId="8" hidden="1"/>
    <cellStyle name="超链接" xfId="741" builtinId="8" hidden="1"/>
    <cellStyle name="超链接" xfId="743" builtinId="8" hidden="1"/>
    <cellStyle name="超链接" xfId="745" builtinId="8" hidden="1"/>
    <cellStyle name="超链接" xfId="747" builtinId="8" hidden="1"/>
    <cellStyle name="超链接" xfId="749" builtinId="8" hidden="1"/>
    <cellStyle name="超链接" xfId="751" builtinId="8" hidden="1"/>
    <cellStyle name="超链接" xfId="753" builtinId="8" hidden="1"/>
    <cellStyle name="超链接" xfId="755" builtinId="8" hidden="1"/>
    <cellStyle name="超链接" xfId="757" builtinId="8" hidden="1"/>
    <cellStyle name="超链接" xfId="759" builtinId="8" hidden="1"/>
    <cellStyle name="超链接" xfId="761" builtinId="8" hidden="1"/>
    <cellStyle name="超链接" xfId="763" builtinId="8" hidden="1"/>
    <cellStyle name="超链接" xfId="765" builtinId="8" hidden="1"/>
    <cellStyle name="超链接" xfId="767" builtinId="8" hidden="1"/>
    <cellStyle name="超链接" xfId="769" builtinId="8" hidden="1"/>
    <cellStyle name="超链接" xfId="771" builtinId="8" hidden="1"/>
    <cellStyle name="超链接" xfId="773" builtinId="8" hidden="1"/>
    <cellStyle name="超链接" xfId="775" builtinId="8" hidden="1"/>
    <cellStyle name="超链接" xfId="777" builtinId="8" hidden="1"/>
    <cellStyle name="超链接" xfId="779" builtinId="8" hidden="1"/>
    <cellStyle name="超链接" xfId="781" builtinId="8" hidden="1"/>
    <cellStyle name="超链接" xfId="783" builtinId="8" hidden="1"/>
    <cellStyle name="超链接" xfId="785" builtinId="8" hidden="1"/>
    <cellStyle name="超链接" xfId="787" builtinId="8" hidden="1"/>
    <cellStyle name="超链接" xfId="789" builtinId="8" hidden="1"/>
    <cellStyle name="超链接" xfId="791" builtinId="8" hidden="1"/>
    <cellStyle name="超链接" xfId="793" builtinId="8" hidden="1"/>
    <cellStyle name="超链接" xfId="795" builtinId="8" hidden="1"/>
    <cellStyle name="超链接" xfId="797" builtinId="8" hidden="1"/>
    <cellStyle name="超链接" xfId="799" builtinId="8" hidden="1"/>
    <cellStyle name="超链接" xfId="801" builtinId="8" hidden="1"/>
    <cellStyle name="超链接" xfId="803" builtinId="8" hidden="1"/>
    <cellStyle name="超链接" xfId="805" builtinId="8" hidden="1"/>
    <cellStyle name="超链接" xfId="807" builtinId="8" hidden="1"/>
    <cellStyle name="超链接" xfId="809" builtinId="8" hidden="1"/>
    <cellStyle name="超链接" xfId="811" builtinId="8" hidden="1"/>
    <cellStyle name="超链接" xfId="813" builtinId="8" hidden="1"/>
    <cellStyle name="超链接" xfId="815" builtinId="8" hidden="1"/>
    <cellStyle name="超链接" xfId="817" builtinId="8" hidden="1"/>
    <cellStyle name="超链接" xfId="819" builtinId="8" hidden="1"/>
    <cellStyle name="超链接" xfId="821" builtinId="8" hidden="1"/>
    <cellStyle name="超链接" xfId="823" builtinId="8" hidden="1"/>
    <cellStyle name="超链接" xfId="825" builtinId="8" hidden="1"/>
    <cellStyle name="超链接" xfId="827" builtinId="8" hidden="1"/>
    <cellStyle name="超链接" xfId="829" builtinId="8" hidden="1"/>
    <cellStyle name="超链接" xfId="831" builtinId="8" hidden="1"/>
    <cellStyle name="超链接" xfId="833" builtinId="8" hidden="1"/>
    <cellStyle name="超链接" xfId="835" builtinId="8" hidden="1"/>
    <cellStyle name="超链接" xfId="837" builtinId="8" hidden="1"/>
    <cellStyle name="超链接" xfId="839" builtinId="8" hidden="1"/>
    <cellStyle name="超链接" xfId="841" builtinId="8" hidden="1"/>
    <cellStyle name="超链接" xfId="843" builtinId="8" hidden="1"/>
    <cellStyle name="超链接" xfId="845" builtinId="8" hidden="1"/>
    <cellStyle name="超链接" xfId="847" builtinId="8" hidden="1"/>
    <cellStyle name="超链接" xfId="849" builtinId="8" hidden="1"/>
    <cellStyle name="超链接" xfId="851" builtinId="8" hidden="1"/>
    <cellStyle name="超链接" xfId="853" builtinId="8" hidden="1"/>
    <cellStyle name="超链接" xfId="855" builtinId="8" hidden="1"/>
    <cellStyle name="超链接" xfId="857" builtinId="8" hidden="1"/>
    <cellStyle name="超链接" xfId="859" builtinId="8" hidden="1"/>
    <cellStyle name="超链接" xfId="861" builtinId="8" hidden="1"/>
    <cellStyle name="超链接" xfId="863" builtinId="8" hidden="1"/>
    <cellStyle name="超链接" xfId="865" builtinId="8" hidden="1"/>
    <cellStyle name="超链接" xfId="867" builtinId="8" hidden="1"/>
    <cellStyle name="超链接" xfId="869" builtinId="8" hidden="1"/>
    <cellStyle name="超链接" xfId="871" builtinId="8" hidden="1"/>
    <cellStyle name="超链接" xfId="873" builtinId="8" hidden="1"/>
    <cellStyle name="超链接" xfId="875" builtinId="8" hidden="1"/>
    <cellStyle name="超链接" xfId="877" builtinId="8" hidden="1"/>
    <cellStyle name="超链接" xfId="879" builtinId="8" hidden="1"/>
    <cellStyle name="超链接" xfId="881" builtinId="8" hidden="1"/>
    <cellStyle name="超链接" xfId="883" builtinId="8" hidden="1"/>
    <cellStyle name="超链接" xfId="885" builtinId="8" hidden="1"/>
    <cellStyle name="超链接" xfId="887" builtinId="8" hidden="1"/>
    <cellStyle name="超链接" xfId="889" builtinId="8" hidden="1"/>
    <cellStyle name="超链接" xfId="891" builtinId="8" hidden="1"/>
    <cellStyle name="超链接" xfId="893" builtinId="8" hidden="1"/>
    <cellStyle name="超链接" xfId="895" builtinId="8" hidden="1"/>
    <cellStyle name="超链接" xfId="897" builtinId="8" hidden="1"/>
    <cellStyle name="超链接" xfId="899" builtinId="8" hidden="1"/>
    <cellStyle name="超链接" xfId="901" builtinId="8" hidden="1"/>
    <cellStyle name="超链接" xfId="903" builtinId="8" hidden="1"/>
    <cellStyle name="超链接" xfId="905" builtinId="8" hidden="1"/>
    <cellStyle name="超链接" xfId="907" builtinId="8" hidden="1"/>
    <cellStyle name="超链接" xfId="909" builtinId="8" hidden="1"/>
    <cellStyle name="超链接" xfId="911" builtinId="8" hidden="1"/>
    <cellStyle name="超链接" xfId="913" builtinId="8" hidden="1"/>
    <cellStyle name="超链接" xfId="915" builtinId="8" hidden="1"/>
    <cellStyle name="超链接" xfId="917" builtinId="8" hidden="1"/>
    <cellStyle name="超链接" xfId="919" builtinId="8" hidden="1"/>
    <cellStyle name="超链接" xfId="921" builtinId="8" hidden="1"/>
    <cellStyle name="超链接" xfId="923" builtinId="8" hidden="1"/>
    <cellStyle name="超链接" xfId="925" builtinId="8" hidden="1"/>
    <cellStyle name="超链接" xfId="927" builtinId="8" hidden="1"/>
    <cellStyle name="超链接" xfId="929" builtinId="8" hidden="1"/>
    <cellStyle name="超链接" xfId="931" builtinId="8" hidden="1"/>
    <cellStyle name="超链接" xfId="933" builtinId="8" hidden="1"/>
    <cellStyle name="超链接" xfId="935" builtinId="8" hidden="1"/>
    <cellStyle name="超链接" xfId="937" builtinId="8" hidden="1"/>
    <cellStyle name="超链接" xfId="939" builtinId="8" hidden="1"/>
    <cellStyle name="超链接" xfId="941" builtinId="8" hidden="1"/>
    <cellStyle name="超链接" xfId="943" builtinId="8" hidden="1"/>
    <cellStyle name="超链接" xfId="945" builtinId="8" hidden="1"/>
    <cellStyle name="超链接" xfId="947" builtinId="8" hidden="1"/>
    <cellStyle name="超链接" xfId="949" builtinId="8" hidden="1"/>
    <cellStyle name="超链接" xfId="951" builtinId="8" hidden="1"/>
    <cellStyle name="超链接" xfId="953" builtinId="8" hidden="1"/>
    <cellStyle name="超链接" xfId="955" builtinId="8" hidden="1"/>
    <cellStyle name="超链接" xfId="957" builtinId="8" hidden="1"/>
    <cellStyle name="超链接" xfId="959" builtinId="8" hidden="1"/>
    <cellStyle name="超链接" xfId="961" builtinId="8" hidden="1"/>
    <cellStyle name="超链接" xfId="963" builtinId="8" hidden="1"/>
    <cellStyle name="超链接" xfId="965" builtinId="8" hidden="1"/>
    <cellStyle name="超链接" xfId="967" builtinId="8" hidden="1"/>
    <cellStyle name="超链接" xfId="969" builtinId="8" hidden="1"/>
    <cellStyle name="超链接" xfId="971" builtinId="8" hidden="1"/>
    <cellStyle name="超链接" xfId="973" builtinId="8" hidden="1"/>
    <cellStyle name="超链接" xfId="975" builtinId="8" hidden="1"/>
    <cellStyle name="超链接" xfId="977" builtinId="8" hidden="1"/>
    <cellStyle name="超链接" xfId="979" builtinId="8" hidden="1"/>
    <cellStyle name="超链接" xfId="981" builtinId="8" hidden="1"/>
    <cellStyle name="超链接" xfId="983" builtinId="8" hidden="1"/>
    <cellStyle name="超链接" xfId="985" builtinId="8" hidden="1"/>
    <cellStyle name="超链接" xfId="987" builtinId="8" hidden="1"/>
    <cellStyle name="超链接" xfId="989" builtinId="8" hidden="1"/>
    <cellStyle name="超链接" xfId="991" builtinId="8" hidden="1"/>
    <cellStyle name="超链接" xfId="993" builtinId="8" hidden="1"/>
    <cellStyle name="超链接" xfId="995" builtinId="8" hidden="1"/>
    <cellStyle name="超链接" xfId="997" builtinId="8" hidden="1"/>
    <cellStyle name="超链接" xfId="999" builtinId="8" hidden="1"/>
    <cellStyle name="超链接" xfId="1001" builtinId="8" hidden="1"/>
    <cellStyle name="超链接" xfId="1003" builtinId="8" hidden="1"/>
    <cellStyle name="超链接" xfId="1005" builtinId="8" hidden="1"/>
    <cellStyle name="超链接" xfId="1007" builtinId="8" hidden="1"/>
    <cellStyle name="超链接" xfId="1009" builtinId="8" hidden="1"/>
    <cellStyle name="超链接" xfId="1011" builtinId="8" hidden="1"/>
    <cellStyle name="超链接" xfId="1013" builtinId="8" hidden="1"/>
    <cellStyle name="超链接" xfId="1015" builtinId="8" hidden="1"/>
    <cellStyle name="超链接" xfId="1017" builtinId="8" hidden="1"/>
    <cellStyle name="超链接" xfId="1019" builtinId="8" hidden="1"/>
    <cellStyle name="超链接" xfId="1021" builtinId="8" hidden="1"/>
    <cellStyle name="超链接" xfId="1023" builtinId="8" hidden="1"/>
    <cellStyle name="超链接" xfId="1025" builtinId="8" hidden="1"/>
    <cellStyle name="超链接" xfId="1027" builtinId="8" hidden="1"/>
    <cellStyle name="超链接" xfId="1029" builtinId="8" hidden="1"/>
    <cellStyle name="超链接" xfId="1031" builtinId="8" hidden="1"/>
    <cellStyle name="超链接" xfId="1033" builtinId="8" hidden="1"/>
    <cellStyle name="超链接" xfId="1035" builtinId="8" hidden="1"/>
    <cellStyle name="超链接" xfId="1037" builtinId="8" hidden="1"/>
    <cellStyle name="超链接" xfId="1039" builtinId="8" hidden="1"/>
    <cellStyle name="超链接" xfId="1041" builtinId="8" hidden="1"/>
    <cellStyle name="超链接" xfId="1043" builtinId="8" hidden="1"/>
    <cellStyle name="超链接" xfId="1045" builtinId="8" hidden="1"/>
    <cellStyle name="超链接" xfId="1047" builtinId="8" hidden="1"/>
    <cellStyle name="超链接" xfId="1049" builtinId="8" hidden="1"/>
    <cellStyle name="超链接" xfId="1051" builtinId="8" hidden="1"/>
    <cellStyle name="超链接" xfId="1053" builtinId="8" hidden="1"/>
    <cellStyle name="超链接" xfId="1055" builtinId="8" hidden="1"/>
    <cellStyle name="超链接" xfId="1057" builtinId="8" hidden="1"/>
    <cellStyle name="超链接" xfId="1059" builtinId="8" hidden="1"/>
    <cellStyle name="超链接" xfId="1061" builtinId="8" hidden="1"/>
    <cellStyle name="超链接" xfId="1063" builtinId="8" hidden="1"/>
    <cellStyle name="超链接" xfId="1065" builtinId="8" hidden="1"/>
    <cellStyle name="超链接" xfId="1067" builtinId="8" hidden="1"/>
    <cellStyle name="超链接" xfId="1069" builtinId="8" hidden="1"/>
    <cellStyle name="超链接" xfId="1071" builtinId="8" hidden="1"/>
    <cellStyle name="超链接" xfId="1073" builtinId="8" hidden="1"/>
    <cellStyle name="超链接" xfId="1075" builtinId="8" hidden="1"/>
    <cellStyle name="超链接" xfId="1077" builtinId="8" hidden="1"/>
    <cellStyle name="超链接" xfId="1079" builtinId="8" hidden="1"/>
    <cellStyle name="超链接" xfId="1081" builtinId="8" hidden="1"/>
    <cellStyle name="超链接" xfId="1083" builtinId="8" hidden="1"/>
    <cellStyle name="超链接" xfId="1085" builtinId="8" hidden="1"/>
    <cellStyle name="超链接" xfId="1087" builtinId="8" hidden="1"/>
    <cellStyle name="超链接" xfId="1089" builtinId="8" hidden="1"/>
    <cellStyle name="超链接" xfId="1091" builtinId="8" hidden="1"/>
    <cellStyle name="超链接" xfId="1093" builtinId="8" hidden="1"/>
    <cellStyle name="超链接" xfId="1095" builtinId="8" hidden="1"/>
    <cellStyle name="超链接" xfId="1097" builtinId="8" hidden="1"/>
    <cellStyle name="超链接" xfId="1099" builtinId="8" hidden="1"/>
    <cellStyle name="超链接" xfId="1101" builtinId="8" hidden="1"/>
    <cellStyle name="超链接" xfId="1103" builtinId="8" hidden="1"/>
    <cellStyle name="超链接" xfId="1105" builtinId="8" hidden="1"/>
    <cellStyle name="超链接" xfId="1107" builtinId="8" hidden="1"/>
    <cellStyle name="超链接" xfId="1109" builtinId="8" hidden="1"/>
    <cellStyle name="超链接" xfId="1111" builtinId="8" hidden="1"/>
    <cellStyle name="超链接" xfId="1113" builtinId="8" hidden="1"/>
    <cellStyle name="超链接" xfId="1115" builtinId="8" hidden="1"/>
    <cellStyle name="超链接" xfId="1117" builtinId="8" hidden="1"/>
    <cellStyle name="超链接" xfId="1119" builtinId="8" hidden="1"/>
    <cellStyle name="超链接" xfId="1121" builtinId="8" hidden="1"/>
    <cellStyle name="超链接" xfId="1123" builtinId="8" hidden="1"/>
    <cellStyle name="超链接" xfId="1125" builtinId="8" hidden="1"/>
    <cellStyle name="超链接" xfId="1127" builtinId="8" hidden="1"/>
    <cellStyle name="超链接" xfId="1129" builtinId="8" hidden="1"/>
    <cellStyle name="超链接" xfId="1131" builtinId="8" hidden="1"/>
    <cellStyle name="超链接" xfId="1133" builtinId="8" hidden="1"/>
    <cellStyle name="超链接" xfId="1135" builtinId="8" hidden="1"/>
    <cellStyle name="超链接" xfId="1137" builtinId="8" hidden="1"/>
    <cellStyle name="超链接" xfId="1139" builtinId="8" hidden="1"/>
    <cellStyle name="超链接" xfId="1141" builtinId="8" hidden="1"/>
    <cellStyle name="超链接" xfId="1143" builtinId="8" hidden="1"/>
    <cellStyle name="超链接" xfId="1145" builtinId="8" hidden="1"/>
    <cellStyle name="超链接" xfId="1147" builtinId="8" hidden="1"/>
    <cellStyle name="超链接" xfId="1149" builtinId="8" hidden="1"/>
    <cellStyle name="超链接" xfId="1151" builtinId="8" hidden="1"/>
    <cellStyle name="超链接" xfId="1153" builtinId="8" hidden="1"/>
    <cellStyle name="超链接" xfId="1155" builtinId="8" hidden="1"/>
    <cellStyle name="超链接" xfId="1157" builtinId="8" hidden="1"/>
    <cellStyle name="超链接" xfId="1159" builtinId="8" hidden="1"/>
    <cellStyle name="超链接" xfId="1161" builtinId="8" hidden="1"/>
    <cellStyle name="超链接" xfId="1163" builtinId="8" hidden="1"/>
    <cellStyle name="超链接" xfId="1165" builtinId="8" hidden="1"/>
    <cellStyle name="超链接" xfId="1167" builtinId="8" hidden="1"/>
    <cellStyle name="超链接" xfId="1169" builtinId="8" hidden="1"/>
    <cellStyle name="超链接" xfId="1171" builtinId="8" hidden="1"/>
    <cellStyle name="超链接" xfId="1173" builtinId="8" hidden="1"/>
    <cellStyle name="超链接" xfId="1175" builtinId="8" hidden="1"/>
    <cellStyle name="超链接" xfId="1177" builtinId="8" hidden="1"/>
    <cellStyle name="超链接" xfId="1179" builtinId="8" hidden="1"/>
    <cellStyle name="超链接" xfId="1181" builtinId="8" hidden="1"/>
    <cellStyle name="超链接" xfId="1183" builtinId="8" hidden="1"/>
    <cellStyle name="超链接" xfId="1185" builtinId="8" hidden="1"/>
    <cellStyle name="超链接" xfId="1187" builtinId="8" hidden="1"/>
    <cellStyle name="超链接" xfId="1189" builtinId="8" hidden="1"/>
    <cellStyle name="超链接" xfId="1191" builtinId="8" hidden="1"/>
    <cellStyle name="超链接" xfId="1193" builtinId="8" hidden="1"/>
    <cellStyle name="超链接" xfId="1195" builtinId="8" hidden="1"/>
    <cellStyle name="超链接" xfId="1197" builtinId="8" hidden="1"/>
    <cellStyle name="超链接" xfId="1199" builtinId="8" hidden="1"/>
    <cellStyle name="超链接" xfId="1201" builtinId="8" hidden="1"/>
    <cellStyle name="超链接" xfId="1203" builtinId="8" hidden="1"/>
    <cellStyle name="超链接" xfId="1205" builtinId="8" hidden="1"/>
    <cellStyle name="超链接" xfId="1207" builtinId="8" hidden="1"/>
    <cellStyle name="超链接" xfId="1209" builtinId="8" hidden="1"/>
    <cellStyle name="超链接" xfId="1211" builtinId="8" hidden="1"/>
    <cellStyle name="超链接" xfId="1213" builtinId="8" hidden="1"/>
    <cellStyle name="超链接" xfId="1215" builtinId="8" hidden="1"/>
    <cellStyle name="超链接" xfId="1217" builtinId="8" hidden="1"/>
    <cellStyle name="超链接" xfId="1219" builtinId="8" hidden="1"/>
    <cellStyle name="超链接" xfId="1221" builtinId="8" hidden="1"/>
    <cellStyle name="超链接" xfId="1223" builtinId="8" hidden="1"/>
    <cellStyle name="超链接" xfId="1225" builtinId="8" hidden="1"/>
    <cellStyle name="超链接" xfId="1227" builtinId="8" hidden="1"/>
    <cellStyle name="超链接" xfId="1229" builtinId="8" hidden="1"/>
    <cellStyle name="超链接" xfId="1231" builtinId="8" hidden="1"/>
    <cellStyle name="超链接" xfId="1233" builtinId="8" hidden="1"/>
    <cellStyle name="超链接" xfId="1235" builtinId="8" hidden="1"/>
    <cellStyle name="超链接" xfId="1237" builtinId="8" hidden="1"/>
    <cellStyle name="超链接" xfId="1239" builtinId="8" hidden="1"/>
    <cellStyle name="超链接" xfId="1241" builtinId="8" hidden="1"/>
    <cellStyle name="超链接" xfId="1243" builtinId="8" hidden="1"/>
    <cellStyle name="超链接" xfId="1245" builtinId="8" hidden="1"/>
    <cellStyle name="超链接" xfId="1247" builtinId="8" hidden="1"/>
    <cellStyle name="超链接" xfId="1249" builtinId="8" hidden="1"/>
    <cellStyle name="超链接" xfId="1251" builtinId="8" hidden="1"/>
    <cellStyle name="超链接" xfId="1253" builtinId="8" hidden="1"/>
    <cellStyle name="超链接" xfId="1255" builtinId="8" hidden="1"/>
    <cellStyle name="超链接" xfId="1257" builtinId="8" hidden="1"/>
    <cellStyle name="超链接" xfId="1259" builtinId="8" hidden="1"/>
    <cellStyle name="超链接" xfId="1261" builtinId="8" hidden="1"/>
    <cellStyle name="超链接" xfId="1263" builtinId="8" hidden="1"/>
    <cellStyle name="超链接" xfId="1265" builtinId="8" hidden="1"/>
    <cellStyle name="超链接" xfId="1267" builtinId="8" hidden="1"/>
    <cellStyle name="超链接" xfId="1269" builtinId="8" hidden="1"/>
    <cellStyle name="超链接" xfId="1271" builtinId="8" hidden="1"/>
    <cellStyle name="超链接" xfId="1273" builtinId="8" hidden="1"/>
    <cellStyle name="超链接" xfId="1275" builtinId="8" hidden="1"/>
    <cellStyle name="超链接" xfId="1277" builtinId="8" hidden="1"/>
    <cellStyle name="超链接" xfId="1279" builtinId="8" hidden="1"/>
    <cellStyle name="超链接" xfId="1281" builtinId="8" hidden="1"/>
    <cellStyle name="超链接" xfId="1283" builtinId="8" hidden="1"/>
    <cellStyle name="超链接" xfId="1285" builtinId="8" hidden="1"/>
    <cellStyle name="超链接" xfId="1287" builtinId="8" hidden="1"/>
    <cellStyle name="超链接" xfId="1289" builtinId="8" hidden="1"/>
    <cellStyle name="超链接" xfId="1291" builtinId="8" hidden="1"/>
    <cellStyle name="超链接" xfId="1293" builtinId="8" hidden="1"/>
    <cellStyle name="超链接" xfId="1295" builtinId="8" hidden="1"/>
    <cellStyle name="超链接" xfId="1297" builtinId="8" hidden="1"/>
    <cellStyle name="超链接" xfId="1299" builtinId="8" hidden="1"/>
    <cellStyle name="超链接" xfId="1301" builtinId="8" hidden="1"/>
    <cellStyle name="超链接" xfId="1303" builtinId="8" hidden="1"/>
    <cellStyle name="超链接" xfId="1305" builtinId="8" hidden="1"/>
    <cellStyle name="超链接" xfId="1307" builtinId="8" hidden="1"/>
    <cellStyle name="超链接" xfId="1309" builtinId="8" hidden="1"/>
    <cellStyle name="超链接" xfId="1311" builtinId="8" hidden="1"/>
    <cellStyle name="超链接" xfId="1313" builtinId="8" hidden="1"/>
    <cellStyle name="超链接" xfId="1315" builtinId="8" hidden="1"/>
    <cellStyle name="超链接" xfId="1317" builtinId="8" hidden="1"/>
    <cellStyle name="超链接" xfId="1319" builtinId="8" hidden="1"/>
    <cellStyle name="超链接" xfId="1321" builtinId="8" hidden="1"/>
    <cellStyle name="超链接" xfId="1323" builtinId="8" hidden="1"/>
    <cellStyle name="超链接" xfId="1325" builtinId="8" hidden="1"/>
    <cellStyle name="超链接" xfId="1327" builtinId="8" hidden="1"/>
    <cellStyle name="超链接" xfId="1329" builtinId="8" hidden="1"/>
    <cellStyle name="超链接" xfId="1331" builtinId="8" hidden="1"/>
    <cellStyle name="超链接" xfId="1333" builtinId="8" hidden="1"/>
    <cellStyle name="超链接" xfId="1335" builtinId="8" hidden="1"/>
    <cellStyle name="超链接" xfId="1337" builtinId="8" hidden="1"/>
    <cellStyle name="超链接" xfId="1339" builtinId="8" hidden="1"/>
    <cellStyle name="超链接" xfId="1341" builtinId="8" hidden="1"/>
    <cellStyle name="超链接" xfId="1343" builtinId="8" hidden="1"/>
    <cellStyle name="超链接" xfId="1345" builtinId="8" hidden="1"/>
    <cellStyle name="超链接" xfId="1347" builtinId="8" hidden="1"/>
    <cellStyle name="超链接" xfId="1349" builtinId="8" hidden="1"/>
    <cellStyle name="超链接" xfId="1351" builtinId="8" hidden="1"/>
    <cellStyle name="超链接" xfId="1353" builtinId="8" hidden="1"/>
    <cellStyle name="超链接" xfId="1355" builtinId="8" hidden="1"/>
    <cellStyle name="超链接" xfId="1357" builtinId="8" hidden="1"/>
    <cellStyle name="超链接" xfId="1359" builtinId="8" hidden="1"/>
    <cellStyle name="超链接" xfId="1361" builtinId="8" hidden="1"/>
    <cellStyle name="超链接" xfId="1363" builtinId="8" hidden="1"/>
    <cellStyle name="超链接" xfId="1365" builtinId="8" hidden="1"/>
    <cellStyle name="超链接" xfId="1367" builtinId="8" hidden="1"/>
    <cellStyle name="超链接" xfId="1369" builtinId="8" hidden="1"/>
    <cellStyle name="超链接" xfId="1371" builtinId="8" hidden="1"/>
    <cellStyle name="超链接" xfId="1373" builtinId="8" hidden="1"/>
    <cellStyle name="超链接" xfId="1375" builtinId="8" hidden="1"/>
    <cellStyle name="超链接" xfId="1377" builtinId="8" hidden="1"/>
    <cellStyle name="超链接" xfId="1379" builtinId="8" hidden="1"/>
    <cellStyle name="超链接" xfId="1381" builtinId="8" hidden="1"/>
    <cellStyle name="超链接" xfId="1383" builtinId="8" hidden="1"/>
    <cellStyle name="超链接" xfId="1385" builtinId="8" hidden="1"/>
    <cellStyle name="超链接" xfId="1387" builtinId="8" hidden="1"/>
    <cellStyle name="超链接" xfId="1389" builtinId="8" hidden="1"/>
    <cellStyle name="超链接" xfId="1391" builtinId="8" hidden="1"/>
    <cellStyle name="超链接" xfId="1393" builtinId="8" hidden="1"/>
    <cellStyle name="超链接" xfId="1395" builtinId="8" hidden="1"/>
    <cellStyle name="超链接" xfId="1397" builtinId="8" hidden="1"/>
    <cellStyle name="超链接" xfId="1399" builtinId="8" hidden="1"/>
    <cellStyle name="超链接" xfId="1401" builtinId="8" hidden="1"/>
    <cellStyle name="超链接" xfId="1403" builtinId="8" hidden="1"/>
    <cellStyle name="超链接" xfId="1405" builtinId="8" hidden="1"/>
    <cellStyle name="超链接" xfId="1407" builtinId="8" hidden="1"/>
    <cellStyle name="超链接" xfId="1409" builtinId="8" hidden="1"/>
    <cellStyle name="超链接" xfId="1411" builtinId="8" hidden="1"/>
    <cellStyle name="超链接" xfId="1413" builtinId="8" hidden="1"/>
    <cellStyle name="超链接" xfId="1415" builtinId="8" hidden="1"/>
    <cellStyle name="超链接" xfId="1417" builtinId="8" hidden="1"/>
    <cellStyle name="超链接" xfId="1419" builtinId="8" hidden="1"/>
    <cellStyle name="超链接" xfId="1421" builtinId="8" hidden="1"/>
    <cellStyle name="超链接" xfId="1423" builtinId="8" hidden="1"/>
    <cellStyle name="超链接" xfId="1425" builtinId="8" hidden="1"/>
    <cellStyle name="超链接" xfId="1427" builtinId="8" hidden="1"/>
    <cellStyle name="超链接" xfId="1429" builtinId="8" hidden="1"/>
    <cellStyle name="超链接" xfId="1431" builtinId="8" hidden="1"/>
    <cellStyle name="超链接" xfId="1433" builtinId="8" hidden="1"/>
    <cellStyle name="超链接" xfId="1435" builtinId="8" hidden="1"/>
    <cellStyle name="超链接" xfId="1437" builtinId="8" hidden="1"/>
    <cellStyle name="超链接" xfId="1439" builtinId="8" hidden="1"/>
    <cellStyle name="超链接" xfId="1441" builtinId="8" hidden="1"/>
    <cellStyle name="超链接" xfId="1443" builtinId="8" hidden="1"/>
    <cellStyle name="超链接" xfId="1445" builtinId="8" hidden="1"/>
    <cellStyle name="超链接" xfId="1447" builtinId="8" hidden="1"/>
    <cellStyle name="超链接" xfId="1449" builtinId="8" hidden="1"/>
    <cellStyle name="超链接" xfId="1451" builtinId="8" hidden="1"/>
    <cellStyle name="超链接" xfId="1453" builtinId="8" hidden="1"/>
    <cellStyle name="超链接" xfId="1455" builtinId="8" hidden="1"/>
    <cellStyle name="超链接" xfId="1457" builtinId="8" hidden="1"/>
    <cellStyle name="超链接" xfId="1459" builtinId="8" hidden="1"/>
    <cellStyle name="超链接" xfId="1461" builtinId="8" hidden="1"/>
    <cellStyle name="超链接" xfId="1463" builtinId="8" hidden="1"/>
    <cellStyle name="超链接" xfId="1465" builtinId="8" hidden="1"/>
    <cellStyle name="超链接" xfId="1467" builtinId="8" hidden="1"/>
    <cellStyle name="超链接" xfId="1469" builtinId="8" hidden="1"/>
    <cellStyle name="超链接" xfId="1471" builtinId="8" hidden="1"/>
    <cellStyle name="超链接" xfId="1473" builtinId="8" hidden="1"/>
    <cellStyle name="超链接" xfId="1475" builtinId="8" hidden="1"/>
    <cellStyle name="超链接" xfId="1477" builtinId="8" hidden="1"/>
    <cellStyle name="超链接" xfId="1479" builtinId="8" hidden="1"/>
    <cellStyle name="超链接" xfId="1481" builtinId="8" hidden="1"/>
    <cellStyle name="超链接" xfId="1483" builtinId="8" hidden="1"/>
    <cellStyle name="超链接" xfId="1485" builtinId="8" hidden="1"/>
    <cellStyle name="超链接" xfId="1487" builtinId="8" hidden="1"/>
    <cellStyle name="超链接" xfId="1489" builtinId="8" hidden="1"/>
    <cellStyle name="超链接" xfId="1491" builtinId="8" hidden="1"/>
    <cellStyle name="超链接" xfId="1493" builtinId="8" hidden="1"/>
    <cellStyle name="超链接" xfId="1495" builtinId="8" hidden="1"/>
    <cellStyle name="超链接" xfId="1497" builtinId="8" hidden="1"/>
    <cellStyle name="超链接" xfId="1499" builtinId="8" hidden="1"/>
    <cellStyle name="超链接" xfId="1501" builtinId="8" hidden="1"/>
    <cellStyle name="超链接" xfId="1503" builtinId="8" hidden="1"/>
    <cellStyle name="超链接" xfId="1505" builtinId="8" hidden="1"/>
    <cellStyle name="超链接" xfId="1507" builtinId="8" hidden="1"/>
    <cellStyle name="超链接" xfId="1509" builtinId="8" hidden="1"/>
    <cellStyle name="超链接" xfId="1511" builtinId="8" hidden="1"/>
    <cellStyle name="超链接" xfId="1513" builtinId="8" hidden="1"/>
    <cellStyle name="超链接" xfId="1515" builtinId="8" hidden="1"/>
    <cellStyle name="超链接" xfId="1517" builtinId="8" hidden="1"/>
    <cellStyle name="超链接" xfId="1519" builtinId="8"/>
    <cellStyle name="已访问的超链接" xfId="2" builtinId="9" hidden="1"/>
    <cellStyle name="已访问的超链接" xfId="4" builtinId="9" hidden="1"/>
    <cellStyle name="已访问的超链接" xfId="6" builtinId="9" hidden="1"/>
    <cellStyle name="已访问的超链接" xfId="8" builtinId="9" hidden="1"/>
    <cellStyle name="已访问的超链接" xfId="10" builtinId="9" hidden="1"/>
    <cellStyle name="已访问的超链接" xfId="12" builtinId="9" hidden="1"/>
    <cellStyle name="已访问的超链接" xfId="14" builtinId="9" hidden="1"/>
    <cellStyle name="已访问的超链接" xfId="16" builtinId="9" hidden="1"/>
    <cellStyle name="已访问的超链接" xfId="18" builtinId="9" hidden="1"/>
    <cellStyle name="已访问的超链接" xfId="20" builtinId="9" hidden="1"/>
    <cellStyle name="已访问的超链接" xfId="22" builtinId="9" hidden="1"/>
    <cellStyle name="已访问的超链接" xfId="24" builtinId="9" hidden="1"/>
    <cellStyle name="已访问的超链接" xfId="26" builtinId="9" hidden="1"/>
    <cellStyle name="已访问的超链接" xfId="28" builtinId="9" hidden="1"/>
    <cellStyle name="已访问的超链接" xfId="30" builtinId="9" hidden="1"/>
    <cellStyle name="已访问的超链接" xfId="32" builtinId="9" hidden="1"/>
    <cellStyle name="已访问的超链接" xfId="34" builtinId="9" hidden="1"/>
    <cellStyle name="已访问的超链接" xfId="36" builtinId="9" hidden="1"/>
    <cellStyle name="已访问的超链接" xfId="38" builtinId="9" hidden="1"/>
    <cellStyle name="已访问的超链接" xfId="40" builtinId="9" hidden="1"/>
    <cellStyle name="已访问的超链接" xfId="42" builtinId="9" hidden="1"/>
    <cellStyle name="已访问的超链接" xfId="44" builtinId="9" hidden="1"/>
    <cellStyle name="已访问的超链接" xfId="46" builtinId="9" hidden="1"/>
    <cellStyle name="已访问的超链接" xfId="48" builtinId="9" hidden="1"/>
    <cellStyle name="已访问的超链接" xfId="50" builtinId="9" hidden="1"/>
    <cellStyle name="已访问的超链接" xfId="52" builtinId="9" hidden="1"/>
    <cellStyle name="已访问的超链接" xfId="54" builtinId="9" hidden="1"/>
    <cellStyle name="已访问的超链接" xfId="56" builtinId="9" hidden="1"/>
    <cellStyle name="已访问的超链接" xfId="58" builtinId="9" hidden="1"/>
    <cellStyle name="已访问的超链接" xfId="60" builtinId="9" hidden="1"/>
    <cellStyle name="已访问的超链接" xfId="62" builtinId="9" hidden="1"/>
    <cellStyle name="已访问的超链接" xfId="64" builtinId="9" hidden="1"/>
    <cellStyle name="已访问的超链接" xfId="66" builtinId="9" hidden="1"/>
    <cellStyle name="已访问的超链接" xfId="68" builtinId="9" hidden="1"/>
    <cellStyle name="已访问的超链接" xfId="70" builtinId="9" hidden="1"/>
    <cellStyle name="已访问的超链接" xfId="72" builtinId="9" hidden="1"/>
    <cellStyle name="已访问的超链接" xfId="74" builtinId="9" hidden="1"/>
    <cellStyle name="已访问的超链接" xfId="76" builtinId="9" hidden="1"/>
    <cellStyle name="已访问的超链接" xfId="78" builtinId="9" hidden="1"/>
    <cellStyle name="已访问的超链接" xfId="80" builtinId="9" hidden="1"/>
    <cellStyle name="已访问的超链接" xfId="82" builtinId="9" hidden="1"/>
    <cellStyle name="已访问的超链接" xfId="84" builtinId="9" hidden="1"/>
    <cellStyle name="已访问的超链接" xfId="86" builtinId="9" hidden="1"/>
    <cellStyle name="已访问的超链接" xfId="88" builtinId="9" hidden="1"/>
    <cellStyle name="已访问的超链接" xfId="90" builtinId="9" hidden="1"/>
    <cellStyle name="已访问的超链接" xfId="92" builtinId="9" hidden="1"/>
    <cellStyle name="已访问的超链接" xfId="94" builtinId="9" hidden="1"/>
    <cellStyle name="已访问的超链接" xfId="96" builtinId="9" hidden="1"/>
    <cellStyle name="已访问的超链接" xfId="98" builtinId="9" hidden="1"/>
    <cellStyle name="已访问的超链接" xfId="100" builtinId="9" hidden="1"/>
    <cellStyle name="已访问的超链接" xfId="102" builtinId="9" hidden="1"/>
    <cellStyle name="已访问的超链接" xfId="104" builtinId="9" hidden="1"/>
    <cellStyle name="已访问的超链接" xfId="106" builtinId="9" hidden="1"/>
    <cellStyle name="已访问的超链接" xfId="108" builtinId="9" hidden="1"/>
    <cellStyle name="已访问的超链接" xfId="110" builtinId="9" hidden="1"/>
    <cellStyle name="已访问的超链接" xfId="112" builtinId="9" hidden="1"/>
    <cellStyle name="已访问的超链接" xfId="114" builtinId="9" hidden="1"/>
    <cellStyle name="已访问的超链接" xfId="116" builtinId="9" hidden="1"/>
    <cellStyle name="已访问的超链接" xfId="118" builtinId="9" hidden="1"/>
    <cellStyle name="已访问的超链接" xfId="120" builtinId="9" hidden="1"/>
    <cellStyle name="已访问的超链接" xfId="122" builtinId="9" hidden="1"/>
    <cellStyle name="已访问的超链接" xfId="124" builtinId="9" hidden="1"/>
    <cellStyle name="已访问的超链接" xfId="126" builtinId="9" hidden="1"/>
    <cellStyle name="已访问的超链接" xfId="128" builtinId="9" hidden="1"/>
    <cellStyle name="已访问的超链接" xfId="130" builtinId="9" hidden="1"/>
    <cellStyle name="已访问的超链接" xfId="132" builtinId="9" hidden="1"/>
    <cellStyle name="已访问的超链接" xfId="134" builtinId="9" hidden="1"/>
    <cellStyle name="已访问的超链接" xfId="136" builtinId="9" hidden="1"/>
    <cellStyle name="已访问的超链接" xfId="138" builtinId="9" hidden="1"/>
    <cellStyle name="已访问的超链接" xfId="140" builtinId="9" hidden="1"/>
    <cellStyle name="已访问的超链接" xfId="142" builtinId="9" hidden="1"/>
    <cellStyle name="已访问的超链接" xfId="144" builtinId="9" hidden="1"/>
    <cellStyle name="已访问的超链接" xfId="146" builtinId="9" hidden="1"/>
    <cellStyle name="已访问的超链接" xfId="148" builtinId="9" hidden="1"/>
    <cellStyle name="已访问的超链接" xfId="150" builtinId="9" hidden="1"/>
    <cellStyle name="已访问的超链接" xfId="152" builtinId="9" hidden="1"/>
    <cellStyle name="已访问的超链接" xfId="154" builtinId="9" hidden="1"/>
    <cellStyle name="已访问的超链接" xfId="156" builtinId="9" hidden="1"/>
    <cellStyle name="已访问的超链接" xfId="158" builtinId="9" hidden="1"/>
    <cellStyle name="已访问的超链接" xfId="160" builtinId="9" hidden="1"/>
    <cellStyle name="已访问的超链接" xfId="162" builtinId="9" hidden="1"/>
    <cellStyle name="已访问的超链接" xfId="164" builtinId="9" hidden="1"/>
    <cellStyle name="已访问的超链接" xfId="166" builtinId="9" hidden="1"/>
    <cellStyle name="已访问的超链接" xfId="168" builtinId="9" hidden="1"/>
    <cellStyle name="已访问的超链接" xfId="170" builtinId="9" hidden="1"/>
    <cellStyle name="已访问的超链接" xfId="172" builtinId="9" hidden="1"/>
    <cellStyle name="已访问的超链接" xfId="174" builtinId="9" hidden="1"/>
    <cellStyle name="已访问的超链接" xfId="176" builtinId="9" hidden="1"/>
    <cellStyle name="已访问的超链接" xfId="178" builtinId="9" hidden="1"/>
    <cellStyle name="已访问的超链接" xfId="180" builtinId="9" hidden="1"/>
    <cellStyle name="已访问的超链接" xfId="182" builtinId="9" hidden="1"/>
    <cellStyle name="已访问的超链接" xfId="184" builtinId="9" hidden="1"/>
    <cellStyle name="已访问的超链接" xfId="186" builtinId="9" hidden="1"/>
    <cellStyle name="已访问的超链接" xfId="188" builtinId="9" hidden="1"/>
    <cellStyle name="已访问的超链接" xfId="190" builtinId="9" hidden="1"/>
    <cellStyle name="已访问的超链接" xfId="192" builtinId="9" hidden="1"/>
    <cellStyle name="已访问的超链接" xfId="194" builtinId="9" hidden="1"/>
    <cellStyle name="已访问的超链接" xfId="196" builtinId="9" hidden="1"/>
    <cellStyle name="已访问的超链接" xfId="198" builtinId="9" hidden="1"/>
    <cellStyle name="已访问的超链接" xfId="200" builtinId="9" hidden="1"/>
    <cellStyle name="已访问的超链接" xfId="202" builtinId="9" hidden="1"/>
    <cellStyle name="已访问的超链接" xfId="204" builtinId="9" hidden="1"/>
    <cellStyle name="已访问的超链接" xfId="206" builtinId="9" hidden="1"/>
    <cellStyle name="已访问的超链接" xfId="208" builtinId="9" hidden="1"/>
    <cellStyle name="已访问的超链接" xfId="210" builtinId="9" hidden="1"/>
    <cellStyle name="已访问的超链接" xfId="212" builtinId="9" hidden="1"/>
    <cellStyle name="已访问的超链接" xfId="214" builtinId="9" hidden="1"/>
    <cellStyle name="已访问的超链接" xfId="216" builtinId="9" hidden="1"/>
    <cellStyle name="已访问的超链接" xfId="218" builtinId="9" hidden="1"/>
    <cellStyle name="已访问的超链接" xfId="220" builtinId="9" hidden="1"/>
    <cellStyle name="已访问的超链接" xfId="222" builtinId="9" hidden="1"/>
    <cellStyle name="已访问的超链接" xfId="224" builtinId="9" hidden="1"/>
    <cellStyle name="已访问的超链接" xfId="226" builtinId="9" hidden="1"/>
    <cellStyle name="已访问的超链接" xfId="228" builtinId="9" hidden="1"/>
    <cellStyle name="已访问的超链接" xfId="230" builtinId="9" hidden="1"/>
    <cellStyle name="已访问的超链接" xfId="232" builtinId="9" hidden="1"/>
    <cellStyle name="已访问的超链接" xfId="234" builtinId="9" hidden="1"/>
    <cellStyle name="已访问的超链接" xfId="236" builtinId="9" hidden="1"/>
    <cellStyle name="已访问的超链接" xfId="238" builtinId="9" hidden="1"/>
    <cellStyle name="已访问的超链接" xfId="240" builtinId="9" hidden="1"/>
    <cellStyle name="已访问的超链接" xfId="242" builtinId="9" hidden="1"/>
    <cellStyle name="已访问的超链接" xfId="244" builtinId="9" hidden="1"/>
    <cellStyle name="已访问的超链接" xfId="246" builtinId="9" hidden="1"/>
    <cellStyle name="已访问的超链接" xfId="248" builtinId="9" hidden="1"/>
    <cellStyle name="已访问的超链接" xfId="250" builtinId="9" hidden="1"/>
    <cellStyle name="已访问的超链接" xfId="252" builtinId="9" hidden="1"/>
    <cellStyle name="已访问的超链接" xfId="254" builtinId="9" hidden="1"/>
    <cellStyle name="已访问的超链接" xfId="256" builtinId="9" hidden="1"/>
    <cellStyle name="已访问的超链接" xfId="258" builtinId="9" hidden="1"/>
    <cellStyle name="已访问的超链接" xfId="260" builtinId="9" hidden="1"/>
    <cellStyle name="已访问的超链接" xfId="262" builtinId="9" hidden="1"/>
    <cellStyle name="已访问的超链接" xfId="264" builtinId="9" hidden="1"/>
    <cellStyle name="已访问的超链接" xfId="266" builtinId="9" hidden="1"/>
    <cellStyle name="已访问的超链接" xfId="268" builtinId="9" hidden="1"/>
    <cellStyle name="已访问的超链接" xfId="270" builtinId="9" hidden="1"/>
    <cellStyle name="已访问的超链接" xfId="272" builtinId="9" hidden="1"/>
    <cellStyle name="已访问的超链接" xfId="274" builtinId="9" hidden="1"/>
    <cellStyle name="已访问的超链接" xfId="276" builtinId="9" hidden="1"/>
    <cellStyle name="已访问的超链接" xfId="278" builtinId="9" hidden="1"/>
    <cellStyle name="已访问的超链接" xfId="280" builtinId="9" hidden="1"/>
    <cellStyle name="已访问的超链接" xfId="282" builtinId="9" hidden="1"/>
    <cellStyle name="已访问的超链接" xfId="284" builtinId="9" hidden="1"/>
    <cellStyle name="已访问的超链接" xfId="286" builtinId="9" hidden="1"/>
    <cellStyle name="已访问的超链接" xfId="288" builtinId="9" hidden="1"/>
    <cellStyle name="已访问的超链接" xfId="290" builtinId="9" hidden="1"/>
    <cellStyle name="已访问的超链接" xfId="292" builtinId="9" hidden="1"/>
    <cellStyle name="已访问的超链接" xfId="294" builtinId="9" hidden="1"/>
    <cellStyle name="已访问的超链接" xfId="296" builtinId="9" hidden="1"/>
    <cellStyle name="已访问的超链接" xfId="298" builtinId="9" hidden="1"/>
    <cellStyle name="已访问的超链接" xfId="300" builtinId="9" hidden="1"/>
    <cellStyle name="已访问的超链接" xfId="302" builtinId="9" hidden="1"/>
    <cellStyle name="已访问的超链接" xfId="304" builtinId="9" hidden="1"/>
    <cellStyle name="已访问的超链接" xfId="306" builtinId="9" hidden="1"/>
    <cellStyle name="已访问的超链接" xfId="308" builtinId="9" hidden="1"/>
    <cellStyle name="已访问的超链接" xfId="310" builtinId="9" hidden="1"/>
    <cellStyle name="已访问的超链接" xfId="312" builtinId="9" hidden="1"/>
    <cellStyle name="已访问的超链接" xfId="314" builtinId="9" hidden="1"/>
    <cellStyle name="已访问的超链接" xfId="316" builtinId="9" hidden="1"/>
    <cellStyle name="已访问的超链接" xfId="318" builtinId="9" hidden="1"/>
    <cellStyle name="已访问的超链接" xfId="320" builtinId="9" hidden="1"/>
    <cellStyle name="已访问的超链接" xfId="322" builtinId="9" hidden="1"/>
    <cellStyle name="已访问的超链接" xfId="324" builtinId="9" hidden="1"/>
    <cellStyle name="已访问的超链接" xfId="326" builtinId="9" hidden="1"/>
    <cellStyle name="已访问的超链接" xfId="328" builtinId="9" hidden="1"/>
    <cellStyle name="已访问的超链接" xfId="330" builtinId="9" hidden="1"/>
    <cellStyle name="已访问的超链接" xfId="332" builtinId="9" hidden="1"/>
    <cellStyle name="已访问的超链接" xfId="334" builtinId="9" hidden="1"/>
    <cellStyle name="已访问的超链接" xfId="336" builtinId="9" hidden="1"/>
    <cellStyle name="已访问的超链接" xfId="338" builtinId="9" hidden="1"/>
    <cellStyle name="已访问的超链接" xfId="340" builtinId="9" hidden="1"/>
    <cellStyle name="已访问的超链接" xfId="342" builtinId="9" hidden="1"/>
    <cellStyle name="已访问的超链接" xfId="344" builtinId="9" hidden="1"/>
    <cellStyle name="已访问的超链接" xfId="346" builtinId="9" hidden="1"/>
    <cellStyle name="已访问的超链接" xfId="348" builtinId="9" hidden="1"/>
    <cellStyle name="已访问的超链接" xfId="350" builtinId="9" hidden="1"/>
    <cellStyle name="已访问的超链接" xfId="352" builtinId="9" hidden="1"/>
    <cellStyle name="已访问的超链接" xfId="354" builtinId="9" hidden="1"/>
    <cellStyle name="已访问的超链接" xfId="356" builtinId="9" hidden="1"/>
    <cellStyle name="已访问的超链接" xfId="358" builtinId="9" hidden="1"/>
    <cellStyle name="已访问的超链接" xfId="360" builtinId="9" hidden="1"/>
    <cellStyle name="已访问的超链接" xfId="362" builtinId="9" hidden="1"/>
    <cellStyle name="已访问的超链接" xfId="364" builtinId="9" hidden="1"/>
    <cellStyle name="已访问的超链接" xfId="366" builtinId="9" hidden="1"/>
    <cellStyle name="已访问的超链接" xfId="368" builtinId="9" hidden="1"/>
    <cellStyle name="已访问的超链接" xfId="370" builtinId="9" hidden="1"/>
    <cellStyle name="已访问的超链接" xfId="372" builtinId="9" hidden="1"/>
    <cellStyle name="已访问的超链接" xfId="374" builtinId="9" hidden="1"/>
    <cellStyle name="已访问的超链接" xfId="376" builtinId="9" hidden="1"/>
    <cellStyle name="已访问的超链接" xfId="378" builtinId="9" hidden="1"/>
    <cellStyle name="已访问的超链接" xfId="380" builtinId="9" hidden="1"/>
    <cellStyle name="已访问的超链接" xfId="382" builtinId="9" hidden="1"/>
    <cellStyle name="已访问的超链接" xfId="384" builtinId="9" hidden="1"/>
    <cellStyle name="已访问的超链接" xfId="386" builtinId="9" hidden="1"/>
    <cellStyle name="已访问的超链接" xfId="388" builtinId="9" hidden="1"/>
    <cellStyle name="已访问的超链接" xfId="390" builtinId="9" hidden="1"/>
    <cellStyle name="已访问的超链接" xfId="392" builtinId="9" hidden="1"/>
    <cellStyle name="已访问的超链接" xfId="394" builtinId="9" hidden="1"/>
    <cellStyle name="已访问的超链接" xfId="396" builtinId="9" hidden="1"/>
    <cellStyle name="已访问的超链接" xfId="398" builtinId="9" hidden="1"/>
    <cellStyle name="已访问的超链接" xfId="400" builtinId="9" hidden="1"/>
    <cellStyle name="已访问的超链接" xfId="402" builtinId="9" hidden="1"/>
    <cellStyle name="已访问的超链接" xfId="404" builtinId="9" hidden="1"/>
    <cellStyle name="已访问的超链接" xfId="406" builtinId="9" hidden="1"/>
    <cellStyle name="已访问的超链接" xfId="408" builtinId="9" hidden="1"/>
    <cellStyle name="已访问的超链接" xfId="410" builtinId="9" hidden="1"/>
    <cellStyle name="已访问的超链接" xfId="412" builtinId="9" hidden="1"/>
    <cellStyle name="已访问的超链接" xfId="414" builtinId="9" hidden="1"/>
    <cellStyle name="已访问的超链接" xfId="416" builtinId="9" hidden="1"/>
    <cellStyle name="已访问的超链接" xfId="418" builtinId="9" hidden="1"/>
    <cellStyle name="已访问的超链接" xfId="420" builtinId="9" hidden="1"/>
    <cellStyle name="已访问的超链接" xfId="422" builtinId="9" hidden="1"/>
    <cellStyle name="已访问的超链接" xfId="424" builtinId="9" hidden="1"/>
    <cellStyle name="已访问的超链接" xfId="426" builtinId="9" hidden="1"/>
    <cellStyle name="已访问的超链接" xfId="428" builtinId="9" hidden="1"/>
    <cellStyle name="已访问的超链接" xfId="430" builtinId="9" hidden="1"/>
    <cellStyle name="已访问的超链接" xfId="432" builtinId="9" hidden="1"/>
    <cellStyle name="已访问的超链接" xfId="434" builtinId="9" hidden="1"/>
    <cellStyle name="已访问的超链接" xfId="436" builtinId="9" hidden="1"/>
    <cellStyle name="已访问的超链接" xfId="438" builtinId="9" hidden="1"/>
    <cellStyle name="已访问的超链接" xfId="440" builtinId="9" hidden="1"/>
    <cellStyle name="已访问的超链接" xfId="442" builtinId="9" hidden="1"/>
    <cellStyle name="已访问的超链接" xfId="444" builtinId="9" hidden="1"/>
    <cellStyle name="已访问的超链接" xfId="446" builtinId="9" hidden="1"/>
    <cellStyle name="已访问的超链接" xfId="448" builtinId="9" hidden="1"/>
    <cellStyle name="已访问的超链接" xfId="450" builtinId="9" hidden="1"/>
    <cellStyle name="已访问的超链接" xfId="452" builtinId="9" hidden="1"/>
    <cellStyle name="已访问的超链接" xfId="454" builtinId="9" hidden="1"/>
    <cellStyle name="已访问的超链接" xfId="456" builtinId="9" hidden="1"/>
    <cellStyle name="已访问的超链接" xfId="458" builtinId="9" hidden="1"/>
    <cellStyle name="已访问的超链接" xfId="460" builtinId="9" hidden="1"/>
    <cellStyle name="已访问的超链接" xfId="462" builtinId="9" hidden="1"/>
    <cellStyle name="已访问的超链接" xfId="464" builtinId="9" hidden="1"/>
    <cellStyle name="已访问的超链接" xfId="466" builtinId="9" hidden="1"/>
    <cellStyle name="已访问的超链接" xfId="468" builtinId="9" hidden="1"/>
    <cellStyle name="已访问的超链接" xfId="470" builtinId="9" hidden="1"/>
    <cellStyle name="已访问的超链接" xfId="472" builtinId="9" hidden="1"/>
    <cellStyle name="已访问的超链接" xfId="474" builtinId="9" hidden="1"/>
    <cellStyle name="已访问的超链接" xfId="476" builtinId="9" hidden="1"/>
    <cellStyle name="已访问的超链接" xfId="478" builtinId="9" hidden="1"/>
    <cellStyle name="已访问的超链接" xfId="480" builtinId="9" hidden="1"/>
    <cellStyle name="已访问的超链接" xfId="482" builtinId="9" hidden="1"/>
    <cellStyle name="已访问的超链接" xfId="484" builtinId="9" hidden="1"/>
    <cellStyle name="已访问的超链接" xfId="486" builtinId="9" hidden="1"/>
    <cellStyle name="已访问的超链接" xfId="488" builtinId="9" hidden="1"/>
    <cellStyle name="已访问的超链接" xfId="490" builtinId="9" hidden="1"/>
    <cellStyle name="已访问的超链接" xfId="492" builtinId="9" hidden="1"/>
    <cellStyle name="已访问的超链接" xfId="494" builtinId="9" hidden="1"/>
    <cellStyle name="已访问的超链接" xfId="496" builtinId="9" hidden="1"/>
    <cellStyle name="已访问的超链接" xfId="498" builtinId="9" hidden="1"/>
    <cellStyle name="已访问的超链接" xfId="500" builtinId="9" hidden="1"/>
    <cellStyle name="已访问的超链接" xfId="502" builtinId="9" hidden="1"/>
    <cellStyle name="已访问的超链接" xfId="504" builtinId="9" hidden="1"/>
    <cellStyle name="已访问的超链接" xfId="506" builtinId="9" hidden="1"/>
    <cellStyle name="已访问的超链接" xfId="508" builtinId="9" hidden="1"/>
    <cellStyle name="已访问的超链接" xfId="510" builtinId="9" hidden="1"/>
    <cellStyle name="已访问的超链接" xfId="512" builtinId="9" hidden="1"/>
    <cellStyle name="已访问的超链接" xfId="514" builtinId="9" hidden="1"/>
    <cellStyle name="已访问的超链接" xfId="516" builtinId="9" hidden="1"/>
    <cellStyle name="已访问的超链接" xfId="518" builtinId="9" hidden="1"/>
    <cellStyle name="已访问的超链接" xfId="520" builtinId="9" hidden="1"/>
    <cellStyle name="已访问的超链接" xfId="522" builtinId="9" hidden="1"/>
    <cellStyle name="已访问的超链接" xfId="524" builtinId="9" hidden="1"/>
    <cellStyle name="已访问的超链接" xfId="526" builtinId="9" hidden="1"/>
    <cellStyle name="已访问的超链接" xfId="528" builtinId="9" hidden="1"/>
    <cellStyle name="已访问的超链接" xfId="530" builtinId="9" hidden="1"/>
    <cellStyle name="已访问的超链接" xfId="532" builtinId="9" hidden="1"/>
    <cellStyle name="已访问的超链接" xfId="534" builtinId="9" hidden="1"/>
    <cellStyle name="已访问的超链接" xfId="536" builtinId="9" hidden="1"/>
    <cellStyle name="已访问的超链接" xfId="538" builtinId="9" hidden="1"/>
    <cellStyle name="已访问的超链接" xfId="540" builtinId="9" hidden="1"/>
    <cellStyle name="已访问的超链接" xfId="542" builtinId="9" hidden="1"/>
    <cellStyle name="已访问的超链接" xfId="544" builtinId="9" hidden="1"/>
    <cellStyle name="已访问的超链接" xfId="546" builtinId="9" hidden="1"/>
    <cellStyle name="已访问的超链接" xfId="548" builtinId="9" hidden="1"/>
    <cellStyle name="已访问的超链接" xfId="550" builtinId="9" hidden="1"/>
    <cellStyle name="已访问的超链接" xfId="552" builtinId="9" hidden="1"/>
    <cellStyle name="已访问的超链接" xfId="554" builtinId="9" hidden="1"/>
    <cellStyle name="已访问的超链接" xfId="556" builtinId="9" hidden="1"/>
    <cellStyle name="已访问的超链接" xfId="558" builtinId="9" hidden="1"/>
    <cellStyle name="已访问的超链接" xfId="560" builtinId="9" hidden="1"/>
    <cellStyle name="已访问的超链接" xfId="562" builtinId="9" hidden="1"/>
    <cellStyle name="已访问的超链接" xfId="564" builtinId="9" hidden="1"/>
    <cellStyle name="已访问的超链接" xfId="566" builtinId="9" hidden="1"/>
    <cellStyle name="已访问的超链接" xfId="568" builtinId="9" hidden="1"/>
    <cellStyle name="已访问的超链接" xfId="570" builtinId="9" hidden="1"/>
    <cellStyle name="已访问的超链接" xfId="572" builtinId="9" hidden="1"/>
    <cellStyle name="已访问的超链接" xfId="574" builtinId="9" hidden="1"/>
    <cellStyle name="已访问的超链接" xfId="576" builtinId="9" hidden="1"/>
    <cellStyle name="已访问的超链接" xfId="578" builtinId="9" hidden="1"/>
    <cellStyle name="已访问的超链接" xfId="580" builtinId="9" hidden="1"/>
    <cellStyle name="已访问的超链接" xfId="582" builtinId="9" hidden="1"/>
    <cellStyle name="已访问的超链接" xfId="584" builtinId="9" hidden="1"/>
    <cellStyle name="已访问的超链接" xfId="586" builtinId="9" hidden="1"/>
    <cellStyle name="已访问的超链接" xfId="588" builtinId="9" hidden="1"/>
    <cellStyle name="已访问的超链接" xfId="590" builtinId="9" hidden="1"/>
    <cellStyle name="已访问的超链接" xfId="592" builtinId="9" hidden="1"/>
    <cellStyle name="已访问的超链接" xfId="594" builtinId="9" hidden="1"/>
    <cellStyle name="已访问的超链接" xfId="596" builtinId="9" hidden="1"/>
    <cellStyle name="已访问的超链接" xfId="598" builtinId="9" hidden="1"/>
    <cellStyle name="已访问的超链接" xfId="600" builtinId="9" hidden="1"/>
    <cellStyle name="已访问的超链接" xfId="602" builtinId="9" hidden="1"/>
    <cellStyle name="已访问的超链接" xfId="604" builtinId="9" hidden="1"/>
    <cellStyle name="已访问的超链接" xfId="606" builtinId="9" hidden="1"/>
    <cellStyle name="已访问的超链接" xfId="608" builtinId="9" hidden="1"/>
    <cellStyle name="已访问的超链接" xfId="610" builtinId="9" hidden="1"/>
    <cellStyle name="已访问的超链接" xfId="612" builtinId="9" hidden="1"/>
    <cellStyle name="已访问的超链接" xfId="614" builtinId="9" hidden="1"/>
    <cellStyle name="已访问的超链接" xfId="616" builtinId="9" hidden="1"/>
    <cellStyle name="已访问的超链接" xfId="618" builtinId="9" hidden="1"/>
    <cellStyle name="已访问的超链接" xfId="620" builtinId="9" hidden="1"/>
    <cellStyle name="已访问的超链接" xfId="622" builtinId="9" hidden="1"/>
    <cellStyle name="已访问的超链接" xfId="624" builtinId="9" hidden="1"/>
    <cellStyle name="已访问的超链接" xfId="626" builtinId="9" hidden="1"/>
    <cellStyle name="已访问的超链接" xfId="628" builtinId="9" hidden="1"/>
    <cellStyle name="已访问的超链接" xfId="630" builtinId="9" hidden="1"/>
    <cellStyle name="已访问的超链接" xfId="632" builtinId="9" hidden="1"/>
    <cellStyle name="已访问的超链接" xfId="634" builtinId="9" hidden="1"/>
    <cellStyle name="已访问的超链接" xfId="636" builtinId="9" hidden="1"/>
    <cellStyle name="已访问的超链接" xfId="638" builtinId="9" hidden="1"/>
    <cellStyle name="已访问的超链接" xfId="640" builtinId="9" hidden="1"/>
    <cellStyle name="已访问的超链接" xfId="642" builtinId="9" hidden="1"/>
    <cellStyle name="已访问的超链接" xfId="644" builtinId="9" hidden="1"/>
    <cellStyle name="已访问的超链接" xfId="646" builtinId="9" hidden="1"/>
    <cellStyle name="已访问的超链接" xfId="648" builtinId="9" hidden="1"/>
    <cellStyle name="已访问的超链接" xfId="650" builtinId="9" hidden="1"/>
    <cellStyle name="已访问的超链接" xfId="652" builtinId="9" hidden="1"/>
    <cellStyle name="已访问的超链接" xfId="654" builtinId="9" hidden="1"/>
    <cellStyle name="已访问的超链接" xfId="656" builtinId="9" hidden="1"/>
    <cellStyle name="已访问的超链接" xfId="658" builtinId="9" hidden="1"/>
    <cellStyle name="已访问的超链接" xfId="660" builtinId="9" hidden="1"/>
    <cellStyle name="已访问的超链接" xfId="662" builtinId="9" hidden="1"/>
    <cellStyle name="已访问的超链接" xfId="664" builtinId="9" hidden="1"/>
    <cellStyle name="已访问的超链接" xfId="666" builtinId="9" hidden="1"/>
    <cellStyle name="已访问的超链接" xfId="668" builtinId="9" hidden="1"/>
    <cellStyle name="已访问的超链接" xfId="670" builtinId="9" hidden="1"/>
    <cellStyle name="已访问的超链接" xfId="672" builtinId="9" hidden="1"/>
    <cellStyle name="已访问的超链接" xfId="674" builtinId="9" hidden="1"/>
    <cellStyle name="已访问的超链接" xfId="676" builtinId="9" hidden="1"/>
    <cellStyle name="已访问的超链接" xfId="678" builtinId="9" hidden="1"/>
    <cellStyle name="已访问的超链接" xfId="680" builtinId="9" hidden="1"/>
    <cellStyle name="已访问的超链接" xfId="682" builtinId="9" hidden="1"/>
    <cellStyle name="已访问的超链接" xfId="684" builtinId="9" hidden="1"/>
    <cellStyle name="已访问的超链接" xfId="686" builtinId="9" hidden="1"/>
    <cellStyle name="已访问的超链接" xfId="688" builtinId="9" hidden="1"/>
    <cellStyle name="已访问的超链接" xfId="690" builtinId="9" hidden="1"/>
    <cellStyle name="已访问的超链接" xfId="692" builtinId="9" hidden="1"/>
    <cellStyle name="已访问的超链接" xfId="694" builtinId="9" hidden="1"/>
    <cellStyle name="已访问的超链接" xfId="696" builtinId="9" hidden="1"/>
    <cellStyle name="已访问的超链接" xfId="698" builtinId="9" hidden="1"/>
    <cellStyle name="已访问的超链接" xfId="700" builtinId="9" hidden="1"/>
    <cellStyle name="已访问的超链接" xfId="702" builtinId="9" hidden="1"/>
    <cellStyle name="已访问的超链接" xfId="704" builtinId="9" hidden="1"/>
    <cellStyle name="已访问的超链接" xfId="706" builtinId="9" hidden="1"/>
    <cellStyle name="已访问的超链接" xfId="708" builtinId="9" hidden="1"/>
    <cellStyle name="已访问的超链接" xfId="710" builtinId="9" hidden="1"/>
    <cellStyle name="已访问的超链接" xfId="712" builtinId="9" hidden="1"/>
    <cellStyle name="已访问的超链接" xfId="714" builtinId="9" hidden="1"/>
    <cellStyle name="已访问的超链接" xfId="716" builtinId="9" hidden="1"/>
    <cellStyle name="已访问的超链接" xfId="718" builtinId="9" hidden="1"/>
    <cellStyle name="已访问的超链接" xfId="720" builtinId="9" hidden="1"/>
    <cellStyle name="已访问的超链接" xfId="722" builtinId="9" hidden="1"/>
    <cellStyle name="已访问的超链接" xfId="724" builtinId="9" hidden="1"/>
    <cellStyle name="已访问的超链接" xfId="726" builtinId="9" hidden="1"/>
    <cellStyle name="已访问的超链接" xfId="728" builtinId="9" hidden="1"/>
    <cellStyle name="已访问的超链接" xfId="730" builtinId="9" hidden="1"/>
    <cellStyle name="已访问的超链接" xfId="732" builtinId="9" hidden="1"/>
    <cellStyle name="已访问的超链接" xfId="734" builtinId="9" hidden="1"/>
    <cellStyle name="已访问的超链接" xfId="736" builtinId="9" hidden="1"/>
    <cellStyle name="已访问的超链接" xfId="738" builtinId="9" hidden="1"/>
    <cellStyle name="已访问的超链接" xfId="740" builtinId="9" hidden="1"/>
    <cellStyle name="已访问的超链接" xfId="742" builtinId="9" hidden="1"/>
    <cellStyle name="已访问的超链接" xfId="744" builtinId="9" hidden="1"/>
    <cellStyle name="已访问的超链接" xfId="746" builtinId="9" hidden="1"/>
    <cellStyle name="已访问的超链接" xfId="748" builtinId="9" hidden="1"/>
    <cellStyle name="已访问的超链接" xfId="750" builtinId="9" hidden="1"/>
    <cellStyle name="已访问的超链接" xfId="752" builtinId="9" hidden="1"/>
    <cellStyle name="已访问的超链接" xfId="754" builtinId="9" hidden="1"/>
    <cellStyle name="已访问的超链接" xfId="756" builtinId="9" hidden="1"/>
    <cellStyle name="已访问的超链接" xfId="758" builtinId="9" hidden="1"/>
    <cellStyle name="已访问的超链接" xfId="760" builtinId="9" hidden="1"/>
    <cellStyle name="已访问的超链接" xfId="762" builtinId="9" hidden="1"/>
    <cellStyle name="已访问的超链接" xfId="764" builtinId="9" hidden="1"/>
    <cellStyle name="已访问的超链接" xfId="766" builtinId="9" hidden="1"/>
    <cellStyle name="已访问的超链接" xfId="768" builtinId="9" hidden="1"/>
    <cellStyle name="已访问的超链接" xfId="770" builtinId="9" hidden="1"/>
    <cellStyle name="已访问的超链接" xfId="772" builtinId="9" hidden="1"/>
    <cellStyle name="已访问的超链接" xfId="774" builtinId="9" hidden="1"/>
    <cellStyle name="已访问的超链接" xfId="776" builtinId="9" hidden="1"/>
    <cellStyle name="已访问的超链接" xfId="778" builtinId="9" hidden="1"/>
    <cellStyle name="已访问的超链接" xfId="780" builtinId="9" hidden="1"/>
    <cellStyle name="已访问的超链接" xfId="782" builtinId="9" hidden="1"/>
    <cellStyle name="已访问的超链接" xfId="784" builtinId="9" hidden="1"/>
    <cellStyle name="已访问的超链接" xfId="786" builtinId="9" hidden="1"/>
    <cellStyle name="已访问的超链接" xfId="788" builtinId="9" hidden="1"/>
    <cellStyle name="已访问的超链接" xfId="790" builtinId="9" hidden="1"/>
    <cellStyle name="已访问的超链接" xfId="792" builtinId="9" hidden="1"/>
    <cellStyle name="已访问的超链接" xfId="794" builtinId="9" hidden="1"/>
    <cellStyle name="已访问的超链接" xfId="796" builtinId="9" hidden="1"/>
    <cellStyle name="已访问的超链接" xfId="798" builtinId="9" hidden="1"/>
    <cellStyle name="已访问的超链接" xfId="800" builtinId="9" hidden="1"/>
    <cellStyle name="已访问的超链接" xfId="802" builtinId="9" hidden="1"/>
    <cellStyle name="已访问的超链接" xfId="804" builtinId="9" hidden="1"/>
    <cellStyle name="已访问的超链接" xfId="806" builtinId="9" hidden="1"/>
    <cellStyle name="已访问的超链接" xfId="808" builtinId="9" hidden="1"/>
    <cellStyle name="已访问的超链接" xfId="810" builtinId="9" hidden="1"/>
    <cellStyle name="已访问的超链接" xfId="812" builtinId="9" hidden="1"/>
    <cellStyle name="已访问的超链接" xfId="814" builtinId="9" hidden="1"/>
    <cellStyle name="已访问的超链接" xfId="816" builtinId="9" hidden="1"/>
    <cellStyle name="已访问的超链接" xfId="818" builtinId="9" hidden="1"/>
    <cellStyle name="已访问的超链接" xfId="820" builtinId="9" hidden="1"/>
    <cellStyle name="已访问的超链接" xfId="822" builtinId="9" hidden="1"/>
    <cellStyle name="已访问的超链接" xfId="824" builtinId="9" hidden="1"/>
    <cellStyle name="已访问的超链接" xfId="826" builtinId="9" hidden="1"/>
    <cellStyle name="已访问的超链接" xfId="828" builtinId="9" hidden="1"/>
    <cellStyle name="已访问的超链接" xfId="830" builtinId="9" hidden="1"/>
    <cellStyle name="已访问的超链接" xfId="832" builtinId="9" hidden="1"/>
    <cellStyle name="已访问的超链接" xfId="834" builtinId="9" hidden="1"/>
    <cellStyle name="已访问的超链接" xfId="836" builtinId="9" hidden="1"/>
    <cellStyle name="已访问的超链接" xfId="838" builtinId="9" hidden="1"/>
    <cellStyle name="已访问的超链接" xfId="840" builtinId="9" hidden="1"/>
    <cellStyle name="已访问的超链接" xfId="842" builtinId="9" hidden="1"/>
    <cellStyle name="已访问的超链接" xfId="844" builtinId="9" hidden="1"/>
    <cellStyle name="已访问的超链接" xfId="846" builtinId="9" hidden="1"/>
    <cellStyle name="已访问的超链接" xfId="848" builtinId="9" hidden="1"/>
    <cellStyle name="已访问的超链接" xfId="850" builtinId="9" hidden="1"/>
    <cellStyle name="已访问的超链接" xfId="852" builtinId="9" hidden="1"/>
    <cellStyle name="已访问的超链接" xfId="854" builtinId="9" hidden="1"/>
    <cellStyle name="已访问的超链接" xfId="856" builtinId="9" hidden="1"/>
    <cellStyle name="已访问的超链接" xfId="858" builtinId="9" hidden="1"/>
    <cellStyle name="已访问的超链接" xfId="860" builtinId="9" hidden="1"/>
    <cellStyle name="已访问的超链接" xfId="862" builtinId="9" hidden="1"/>
    <cellStyle name="已访问的超链接" xfId="864" builtinId="9" hidden="1"/>
    <cellStyle name="已访问的超链接" xfId="866" builtinId="9" hidden="1"/>
    <cellStyle name="已访问的超链接" xfId="868" builtinId="9" hidden="1"/>
    <cellStyle name="已访问的超链接" xfId="870" builtinId="9" hidden="1"/>
    <cellStyle name="已访问的超链接" xfId="872" builtinId="9" hidden="1"/>
    <cellStyle name="已访问的超链接" xfId="874" builtinId="9" hidden="1"/>
    <cellStyle name="已访问的超链接" xfId="876" builtinId="9" hidden="1"/>
    <cellStyle name="已访问的超链接" xfId="878" builtinId="9" hidden="1"/>
    <cellStyle name="已访问的超链接" xfId="880" builtinId="9" hidden="1"/>
    <cellStyle name="已访问的超链接" xfId="882" builtinId="9" hidden="1"/>
    <cellStyle name="已访问的超链接" xfId="884" builtinId="9" hidden="1"/>
    <cellStyle name="已访问的超链接" xfId="886" builtinId="9" hidden="1"/>
    <cellStyle name="已访问的超链接" xfId="888" builtinId="9" hidden="1"/>
    <cellStyle name="已访问的超链接" xfId="890" builtinId="9" hidden="1"/>
    <cellStyle name="已访问的超链接" xfId="892" builtinId="9" hidden="1"/>
    <cellStyle name="已访问的超链接" xfId="894" builtinId="9" hidden="1"/>
    <cellStyle name="已访问的超链接" xfId="896" builtinId="9" hidden="1"/>
    <cellStyle name="已访问的超链接" xfId="898" builtinId="9" hidden="1"/>
    <cellStyle name="已访问的超链接" xfId="900" builtinId="9" hidden="1"/>
    <cellStyle name="已访问的超链接" xfId="902" builtinId="9" hidden="1"/>
    <cellStyle name="已访问的超链接" xfId="904" builtinId="9" hidden="1"/>
    <cellStyle name="已访问的超链接" xfId="906" builtinId="9" hidden="1"/>
    <cellStyle name="已访问的超链接" xfId="908" builtinId="9" hidden="1"/>
    <cellStyle name="已访问的超链接" xfId="910" builtinId="9" hidden="1"/>
    <cellStyle name="已访问的超链接" xfId="912" builtinId="9" hidden="1"/>
    <cellStyle name="已访问的超链接" xfId="914" builtinId="9" hidden="1"/>
    <cellStyle name="已访问的超链接" xfId="916" builtinId="9" hidden="1"/>
    <cellStyle name="已访问的超链接" xfId="918" builtinId="9" hidden="1"/>
    <cellStyle name="已访问的超链接" xfId="920" builtinId="9" hidden="1"/>
    <cellStyle name="已访问的超链接" xfId="922" builtinId="9" hidden="1"/>
    <cellStyle name="已访问的超链接" xfId="924" builtinId="9" hidden="1"/>
    <cellStyle name="已访问的超链接" xfId="926" builtinId="9" hidden="1"/>
    <cellStyle name="已访问的超链接" xfId="928" builtinId="9" hidden="1"/>
    <cellStyle name="已访问的超链接" xfId="930" builtinId="9" hidden="1"/>
    <cellStyle name="已访问的超链接" xfId="932" builtinId="9" hidden="1"/>
    <cellStyle name="已访问的超链接" xfId="934" builtinId="9" hidden="1"/>
    <cellStyle name="已访问的超链接" xfId="936" builtinId="9" hidden="1"/>
    <cellStyle name="已访问的超链接" xfId="938" builtinId="9" hidden="1"/>
    <cellStyle name="已访问的超链接" xfId="940" builtinId="9" hidden="1"/>
    <cellStyle name="已访问的超链接" xfId="942" builtinId="9" hidden="1"/>
    <cellStyle name="已访问的超链接" xfId="944" builtinId="9" hidden="1"/>
    <cellStyle name="已访问的超链接" xfId="946" builtinId="9" hidden="1"/>
    <cellStyle name="已访问的超链接" xfId="948" builtinId="9" hidden="1"/>
    <cellStyle name="已访问的超链接" xfId="950" builtinId="9" hidden="1"/>
    <cellStyle name="已访问的超链接" xfId="952" builtinId="9" hidden="1"/>
    <cellStyle name="已访问的超链接" xfId="954" builtinId="9" hidden="1"/>
    <cellStyle name="已访问的超链接" xfId="956" builtinId="9" hidden="1"/>
    <cellStyle name="已访问的超链接" xfId="958" builtinId="9" hidden="1"/>
    <cellStyle name="已访问的超链接" xfId="960" builtinId="9" hidden="1"/>
    <cellStyle name="已访问的超链接" xfId="962" builtinId="9" hidden="1"/>
    <cellStyle name="已访问的超链接" xfId="964" builtinId="9" hidden="1"/>
    <cellStyle name="已访问的超链接" xfId="966" builtinId="9" hidden="1"/>
    <cellStyle name="已访问的超链接" xfId="968" builtinId="9" hidden="1"/>
    <cellStyle name="已访问的超链接" xfId="970" builtinId="9" hidden="1"/>
    <cellStyle name="已访问的超链接" xfId="972" builtinId="9" hidden="1"/>
    <cellStyle name="已访问的超链接" xfId="974" builtinId="9" hidden="1"/>
    <cellStyle name="已访问的超链接" xfId="976" builtinId="9" hidden="1"/>
    <cellStyle name="已访问的超链接" xfId="978" builtinId="9" hidden="1"/>
    <cellStyle name="已访问的超链接" xfId="980" builtinId="9" hidden="1"/>
    <cellStyle name="已访问的超链接" xfId="982" builtinId="9" hidden="1"/>
    <cellStyle name="已访问的超链接" xfId="984" builtinId="9" hidden="1"/>
    <cellStyle name="已访问的超链接" xfId="986" builtinId="9" hidden="1"/>
    <cellStyle name="已访问的超链接" xfId="988" builtinId="9" hidden="1"/>
    <cellStyle name="已访问的超链接" xfId="990" builtinId="9" hidden="1"/>
    <cellStyle name="已访问的超链接" xfId="992" builtinId="9" hidden="1"/>
    <cellStyle name="已访问的超链接" xfId="994" builtinId="9" hidden="1"/>
    <cellStyle name="已访问的超链接" xfId="996" builtinId="9" hidden="1"/>
    <cellStyle name="已访问的超链接" xfId="998" builtinId="9" hidden="1"/>
    <cellStyle name="已访问的超链接" xfId="1000" builtinId="9" hidden="1"/>
    <cellStyle name="已访问的超链接" xfId="1002" builtinId="9" hidden="1"/>
    <cellStyle name="已访问的超链接" xfId="1004" builtinId="9" hidden="1"/>
    <cellStyle name="已访问的超链接" xfId="1006" builtinId="9" hidden="1"/>
    <cellStyle name="已访问的超链接" xfId="1008" builtinId="9" hidden="1"/>
    <cellStyle name="已访问的超链接" xfId="1010" builtinId="9" hidden="1"/>
    <cellStyle name="已访问的超链接" xfId="1012" builtinId="9" hidden="1"/>
    <cellStyle name="已访问的超链接" xfId="1014" builtinId="9" hidden="1"/>
    <cellStyle name="已访问的超链接" xfId="1016" builtinId="9" hidden="1"/>
    <cellStyle name="已访问的超链接" xfId="1018" builtinId="9" hidden="1"/>
    <cellStyle name="已访问的超链接" xfId="1020" builtinId="9" hidden="1"/>
    <cellStyle name="已访问的超链接" xfId="1022" builtinId="9" hidden="1"/>
    <cellStyle name="已访问的超链接" xfId="1024" builtinId="9" hidden="1"/>
    <cellStyle name="已访问的超链接" xfId="1026" builtinId="9" hidden="1"/>
    <cellStyle name="已访问的超链接" xfId="1028" builtinId="9" hidden="1"/>
    <cellStyle name="已访问的超链接" xfId="1030" builtinId="9" hidden="1"/>
    <cellStyle name="已访问的超链接" xfId="1032" builtinId="9" hidden="1"/>
    <cellStyle name="已访问的超链接" xfId="1034" builtinId="9" hidden="1"/>
    <cellStyle name="已访问的超链接" xfId="1036" builtinId="9" hidden="1"/>
    <cellStyle name="已访问的超链接" xfId="1038" builtinId="9" hidden="1"/>
    <cellStyle name="已访问的超链接" xfId="1040" builtinId="9" hidden="1"/>
    <cellStyle name="已访问的超链接" xfId="1042" builtinId="9" hidden="1"/>
    <cellStyle name="已访问的超链接" xfId="1044" builtinId="9" hidden="1"/>
    <cellStyle name="已访问的超链接" xfId="1046" builtinId="9" hidden="1"/>
    <cellStyle name="已访问的超链接" xfId="1048" builtinId="9" hidden="1"/>
    <cellStyle name="已访问的超链接" xfId="1050" builtinId="9" hidden="1"/>
    <cellStyle name="已访问的超链接" xfId="1052" builtinId="9" hidden="1"/>
    <cellStyle name="已访问的超链接" xfId="1054" builtinId="9" hidden="1"/>
    <cellStyle name="已访问的超链接" xfId="1056" builtinId="9" hidden="1"/>
    <cellStyle name="已访问的超链接" xfId="1058" builtinId="9" hidden="1"/>
    <cellStyle name="已访问的超链接" xfId="1060" builtinId="9" hidden="1"/>
    <cellStyle name="已访问的超链接" xfId="1062" builtinId="9" hidden="1"/>
    <cellStyle name="已访问的超链接" xfId="1064" builtinId="9" hidden="1"/>
    <cellStyle name="已访问的超链接" xfId="1066" builtinId="9" hidden="1"/>
    <cellStyle name="已访问的超链接" xfId="1068" builtinId="9" hidden="1"/>
    <cellStyle name="已访问的超链接" xfId="1070" builtinId="9" hidden="1"/>
    <cellStyle name="已访问的超链接" xfId="1072" builtinId="9" hidden="1"/>
    <cellStyle name="已访问的超链接" xfId="1074" builtinId="9" hidden="1"/>
    <cellStyle name="已访问的超链接" xfId="1076" builtinId="9" hidden="1"/>
    <cellStyle name="已访问的超链接" xfId="1078" builtinId="9" hidden="1"/>
    <cellStyle name="已访问的超链接" xfId="1080" builtinId="9" hidden="1"/>
    <cellStyle name="已访问的超链接" xfId="1082" builtinId="9" hidden="1"/>
    <cellStyle name="已访问的超链接" xfId="1084" builtinId="9" hidden="1"/>
    <cellStyle name="已访问的超链接" xfId="1086" builtinId="9" hidden="1"/>
    <cellStyle name="已访问的超链接" xfId="1088" builtinId="9" hidden="1"/>
    <cellStyle name="已访问的超链接" xfId="1090" builtinId="9" hidden="1"/>
    <cellStyle name="已访问的超链接" xfId="1092" builtinId="9" hidden="1"/>
    <cellStyle name="已访问的超链接" xfId="1094" builtinId="9" hidden="1"/>
    <cellStyle name="已访问的超链接" xfId="1096" builtinId="9" hidden="1"/>
    <cellStyle name="已访问的超链接" xfId="1098" builtinId="9" hidden="1"/>
    <cellStyle name="已访问的超链接" xfId="1100" builtinId="9" hidden="1"/>
    <cellStyle name="已访问的超链接" xfId="1102" builtinId="9" hidden="1"/>
    <cellStyle name="已访问的超链接" xfId="1104" builtinId="9" hidden="1"/>
    <cellStyle name="已访问的超链接" xfId="1106" builtinId="9" hidden="1"/>
    <cellStyle name="已访问的超链接" xfId="1108" builtinId="9" hidden="1"/>
    <cellStyle name="已访问的超链接" xfId="1110" builtinId="9" hidden="1"/>
    <cellStyle name="已访问的超链接" xfId="1112" builtinId="9" hidden="1"/>
    <cellStyle name="已访问的超链接" xfId="1114" builtinId="9" hidden="1"/>
    <cellStyle name="已访问的超链接" xfId="1116" builtinId="9" hidden="1"/>
    <cellStyle name="已访问的超链接" xfId="1118" builtinId="9" hidden="1"/>
    <cellStyle name="已访问的超链接" xfId="1120" builtinId="9" hidden="1"/>
    <cellStyle name="已访问的超链接" xfId="1122" builtinId="9" hidden="1"/>
    <cellStyle name="已访问的超链接" xfId="1124" builtinId="9" hidden="1"/>
    <cellStyle name="已访问的超链接" xfId="1126" builtinId="9" hidden="1"/>
    <cellStyle name="已访问的超链接" xfId="1128" builtinId="9" hidden="1"/>
    <cellStyle name="已访问的超链接" xfId="1130" builtinId="9" hidden="1"/>
    <cellStyle name="已访问的超链接" xfId="1132" builtinId="9" hidden="1"/>
    <cellStyle name="已访问的超链接" xfId="1134" builtinId="9" hidden="1"/>
    <cellStyle name="已访问的超链接" xfId="1136" builtinId="9" hidden="1"/>
    <cellStyle name="已访问的超链接" xfId="1138" builtinId="9" hidden="1"/>
    <cellStyle name="已访问的超链接" xfId="1140" builtinId="9" hidden="1"/>
    <cellStyle name="已访问的超链接" xfId="1142" builtinId="9" hidden="1"/>
    <cellStyle name="已访问的超链接" xfId="1144" builtinId="9" hidden="1"/>
    <cellStyle name="已访问的超链接" xfId="1146" builtinId="9" hidden="1"/>
    <cellStyle name="已访问的超链接" xfId="1148" builtinId="9" hidden="1"/>
    <cellStyle name="已访问的超链接" xfId="1150" builtinId="9" hidden="1"/>
    <cellStyle name="已访问的超链接" xfId="1152" builtinId="9" hidden="1"/>
    <cellStyle name="已访问的超链接" xfId="1154" builtinId="9" hidden="1"/>
    <cellStyle name="已访问的超链接" xfId="1156" builtinId="9" hidden="1"/>
    <cellStyle name="已访问的超链接" xfId="1158" builtinId="9" hidden="1"/>
    <cellStyle name="已访问的超链接" xfId="1160" builtinId="9" hidden="1"/>
    <cellStyle name="已访问的超链接" xfId="1162" builtinId="9" hidden="1"/>
    <cellStyle name="已访问的超链接" xfId="1164" builtinId="9" hidden="1"/>
    <cellStyle name="已访问的超链接" xfId="1166" builtinId="9" hidden="1"/>
    <cellStyle name="已访问的超链接" xfId="1168" builtinId="9" hidden="1"/>
    <cellStyle name="已访问的超链接" xfId="1170" builtinId="9" hidden="1"/>
    <cellStyle name="已访问的超链接" xfId="1172" builtinId="9" hidden="1"/>
    <cellStyle name="已访问的超链接" xfId="1174" builtinId="9" hidden="1"/>
    <cellStyle name="已访问的超链接" xfId="1176" builtinId="9" hidden="1"/>
    <cellStyle name="已访问的超链接" xfId="1178" builtinId="9" hidden="1"/>
    <cellStyle name="已访问的超链接" xfId="1180" builtinId="9" hidden="1"/>
    <cellStyle name="已访问的超链接" xfId="1182" builtinId="9" hidden="1"/>
    <cellStyle name="已访问的超链接" xfId="1184" builtinId="9" hidden="1"/>
    <cellStyle name="已访问的超链接" xfId="1186" builtinId="9" hidden="1"/>
    <cellStyle name="已访问的超链接" xfId="1188" builtinId="9" hidden="1"/>
    <cellStyle name="已访问的超链接" xfId="1190" builtinId="9" hidden="1"/>
    <cellStyle name="已访问的超链接" xfId="1192" builtinId="9" hidden="1"/>
    <cellStyle name="已访问的超链接" xfId="1194" builtinId="9" hidden="1"/>
    <cellStyle name="已访问的超链接" xfId="1196" builtinId="9" hidden="1"/>
    <cellStyle name="已访问的超链接" xfId="1198" builtinId="9" hidden="1"/>
    <cellStyle name="已访问的超链接" xfId="1200" builtinId="9" hidden="1"/>
    <cellStyle name="已访问的超链接" xfId="1202" builtinId="9" hidden="1"/>
    <cellStyle name="已访问的超链接" xfId="1204" builtinId="9" hidden="1"/>
    <cellStyle name="已访问的超链接" xfId="1206" builtinId="9" hidden="1"/>
    <cellStyle name="已访问的超链接" xfId="1208" builtinId="9" hidden="1"/>
    <cellStyle name="已访问的超链接" xfId="1210" builtinId="9" hidden="1"/>
    <cellStyle name="已访问的超链接" xfId="1212" builtinId="9" hidden="1"/>
    <cellStyle name="已访问的超链接" xfId="1214" builtinId="9" hidden="1"/>
    <cellStyle name="已访问的超链接" xfId="1216" builtinId="9" hidden="1"/>
    <cellStyle name="已访问的超链接" xfId="1218" builtinId="9" hidden="1"/>
    <cellStyle name="已访问的超链接" xfId="1220" builtinId="9" hidden="1"/>
    <cellStyle name="已访问的超链接" xfId="1222" builtinId="9" hidden="1"/>
    <cellStyle name="已访问的超链接" xfId="1224" builtinId="9" hidden="1"/>
    <cellStyle name="已访问的超链接" xfId="1226" builtinId="9" hidden="1"/>
    <cellStyle name="已访问的超链接" xfId="1228" builtinId="9" hidden="1"/>
    <cellStyle name="已访问的超链接" xfId="1230" builtinId="9" hidden="1"/>
    <cellStyle name="已访问的超链接" xfId="1232" builtinId="9" hidden="1"/>
    <cellStyle name="已访问的超链接" xfId="1234" builtinId="9" hidden="1"/>
    <cellStyle name="已访问的超链接" xfId="1236" builtinId="9" hidden="1"/>
    <cellStyle name="已访问的超链接" xfId="1238" builtinId="9" hidden="1"/>
    <cellStyle name="已访问的超链接" xfId="1240" builtinId="9" hidden="1"/>
    <cellStyle name="已访问的超链接" xfId="1242" builtinId="9" hidden="1"/>
    <cellStyle name="已访问的超链接" xfId="1244" builtinId="9" hidden="1"/>
    <cellStyle name="已访问的超链接" xfId="1246" builtinId="9" hidden="1"/>
    <cellStyle name="已访问的超链接" xfId="1248" builtinId="9" hidden="1"/>
    <cellStyle name="已访问的超链接" xfId="1250" builtinId="9" hidden="1"/>
    <cellStyle name="已访问的超链接" xfId="1252" builtinId="9" hidden="1"/>
    <cellStyle name="已访问的超链接" xfId="1254" builtinId="9" hidden="1"/>
    <cellStyle name="已访问的超链接" xfId="1256" builtinId="9" hidden="1"/>
    <cellStyle name="已访问的超链接" xfId="1258" builtinId="9" hidden="1"/>
    <cellStyle name="已访问的超链接" xfId="1260" builtinId="9" hidden="1"/>
    <cellStyle name="已访问的超链接" xfId="1262" builtinId="9" hidden="1"/>
    <cellStyle name="已访问的超链接" xfId="1264" builtinId="9" hidden="1"/>
    <cellStyle name="已访问的超链接" xfId="1266" builtinId="9" hidden="1"/>
    <cellStyle name="已访问的超链接" xfId="1268" builtinId="9" hidden="1"/>
    <cellStyle name="已访问的超链接" xfId="1270" builtinId="9" hidden="1"/>
    <cellStyle name="已访问的超链接" xfId="1272" builtinId="9" hidden="1"/>
    <cellStyle name="已访问的超链接" xfId="1274" builtinId="9" hidden="1"/>
    <cellStyle name="已访问的超链接" xfId="1276" builtinId="9" hidden="1"/>
    <cellStyle name="已访问的超链接" xfId="1278" builtinId="9" hidden="1"/>
    <cellStyle name="已访问的超链接" xfId="1280" builtinId="9" hidden="1"/>
    <cellStyle name="已访问的超链接" xfId="1282" builtinId="9" hidden="1"/>
    <cellStyle name="已访问的超链接" xfId="1284" builtinId="9" hidden="1"/>
    <cellStyle name="已访问的超链接" xfId="1286" builtinId="9" hidden="1"/>
    <cellStyle name="已访问的超链接" xfId="1288" builtinId="9" hidden="1"/>
    <cellStyle name="已访问的超链接" xfId="1290" builtinId="9" hidden="1"/>
    <cellStyle name="已访问的超链接" xfId="1292" builtinId="9" hidden="1"/>
    <cellStyle name="已访问的超链接" xfId="1294" builtinId="9" hidden="1"/>
    <cellStyle name="已访问的超链接" xfId="1296" builtinId="9" hidden="1"/>
    <cellStyle name="已访问的超链接" xfId="1298" builtinId="9" hidden="1"/>
    <cellStyle name="已访问的超链接" xfId="1300" builtinId="9" hidden="1"/>
    <cellStyle name="已访问的超链接" xfId="1302" builtinId="9" hidden="1"/>
    <cellStyle name="已访问的超链接" xfId="1304" builtinId="9" hidden="1"/>
    <cellStyle name="已访问的超链接" xfId="1306" builtinId="9" hidden="1"/>
    <cellStyle name="已访问的超链接" xfId="1308" builtinId="9" hidden="1"/>
    <cellStyle name="已访问的超链接" xfId="1310" builtinId="9" hidden="1"/>
    <cellStyle name="已访问的超链接" xfId="1312" builtinId="9" hidden="1"/>
    <cellStyle name="已访问的超链接" xfId="1314" builtinId="9" hidden="1"/>
    <cellStyle name="已访问的超链接" xfId="1316" builtinId="9" hidden="1"/>
    <cellStyle name="已访问的超链接" xfId="1318" builtinId="9" hidden="1"/>
    <cellStyle name="已访问的超链接" xfId="1320" builtinId="9" hidden="1"/>
    <cellStyle name="已访问的超链接" xfId="1322" builtinId="9" hidden="1"/>
    <cellStyle name="已访问的超链接" xfId="1324" builtinId="9" hidden="1"/>
    <cellStyle name="已访问的超链接" xfId="1326" builtinId="9" hidden="1"/>
    <cellStyle name="已访问的超链接" xfId="1328" builtinId="9" hidden="1"/>
    <cellStyle name="已访问的超链接" xfId="1330" builtinId="9" hidden="1"/>
    <cellStyle name="已访问的超链接" xfId="1332" builtinId="9" hidden="1"/>
    <cellStyle name="已访问的超链接" xfId="1334" builtinId="9" hidden="1"/>
    <cellStyle name="已访问的超链接" xfId="1336" builtinId="9" hidden="1"/>
    <cellStyle name="已访问的超链接" xfId="1338" builtinId="9" hidden="1"/>
    <cellStyle name="已访问的超链接" xfId="1340" builtinId="9" hidden="1"/>
    <cellStyle name="已访问的超链接" xfId="1342" builtinId="9" hidden="1"/>
    <cellStyle name="已访问的超链接" xfId="1344" builtinId="9" hidden="1"/>
    <cellStyle name="已访问的超链接" xfId="1346" builtinId="9" hidden="1"/>
    <cellStyle name="已访问的超链接" xfId="1348" builtinId="9" hidden="1"/>
    <cellStyle name="已访问的超链接" xfId="1350" builtinId="9" hidden="1"/>
    <cellStyle name="已访问的超链接" xfId="1352" builtinId="9" hidden="1"/>
    <cellStyle name="已访问的超链接" xfId="1354" builtinId="9" hidden="1"/>
    <cellStyle name="已访问的超链接" xfId="1356" builtinId="9" hidden="1"/>
    <cellStyle name="已访问的超链接" xfId="1358" builtinId="9" hidden="1"/>
    <cellStyle name="已访问的超链接" xfId="1360" builtinId="9" hidden="1"/>
    <cellStyle name="已访问的超链接" xfId="1362" builtinId="9" hidden="1"/>
    <cellStyle name="已访问的超链接" xfId="1364" builtinId="9" hidden="1"/>
    <cellStyle name="已访问的超链接" xfId="1366" builtinId="9" hidden="1"/>
    <cellStyle name="已访问的超链接" xfId="1368" builtinId="9" hidden="1"/>
    <cellStyle name="已访问的超链接" xfId="1370" builtinId="9" hidden="1"/>
    <cellStyle name="已访问的超链接" xfId="1372" builtinId="9" hidden="1"/>
    <cellStyle name="已访问的超链接" xfId="1374" builtinId="9" hidden="1"/>
    <cellStyle name="已访问的超链接" xfId="1376" builtinId="9" hidden="1"/>
    <cellStyle name="已访问的超链接" xfId="1378" builtinId="9" hidden="1"/>
    <cellStyle name="已访问的超链接" xfId="1380" builtinId="9" hidden="1"/>
    <cellStyle name="已访问的超链接" xfId="1382" builtinId="9" hidden="1"/>
    <cellStyle name="已访问的超链接" xfId="1384" builtinId="9" hidden="1"/>
    <cellStyle name="已访问的超链接" xfId="1386" builtinId="9" hidden="1"/>
    <cellStyle name="已访问的超链接" xfId="1388" builtinId="9" hidden="1"/>
    <cellStyle name="已访问的超链接" xfId="1390" builtinId="9" hidden="1"/>
    <cellStyle name="已访问的超链接" xfId="1392" builtinId="9" hidden="1"/>
    <cellStyle name="已访问的超链接" xfId="1394" builtinId="9" hidden="1"/>
    <cellStyle name="已访问的超链接" xfId="1396" builtinId="9" hidden="1"/>
    <cellStyle name="已访问的超链接" xfId="1398" builtinId="9" hidden="1"/>
    <cellStyle name="已访问的超链接" xfId="1400" builtinId="9" hidden="1"/>
    <cellStyle name="已访问的超链接" xfId="1402" builtinId="9" hidden="1"/>
    <cellStyle name="已访问的超链接" xfId="1404" builtinId="9" hidden="1"/>
    <cellStyle name="已访问的超链接" xfId="1406" builtinId="9" hidden="1"/>
    <cellStyle name="已访问的超链接" xfId="1408" builtinId="9" hidden="1"/>
    <cellStyle name="已访问的超链接" xfId="1410" builtinId="9" hidden="1"/>
    <cellStyle name="已访问的超链接" xfId="1412" builtinId="9" hidden="1"/>
    <cellStyle name="已访问的超链接" xfId="1414" builtinId="9" hidden="1"/>
    <cellStyle name="已访问的超链接" xfId="1416" builtinId="9" hidden="1"/>
    <cellStyle name="已访问的超链接" xfId="1418" builtinId="9" hidden="1"/>
    <cellStyle name="已访问的超链接" xfId="1420" builtinId="9" hidden="1"/>
    <cellStyle name="已访问的超链接" xfId="1422" builtinId="9" hidden="1"/>
    <cellStyle name="已访问的超链接" xfId="1424" builtinId="9" hidden="1"/>
    <cellStyle name="已访问的超链接" xfId="1426" builtinId="9" hidden="1"/>
    <cellStyle name="已访问的超链接" xfId="1428" builtinId="9" hidden="1"/>
    <cellStyle name="已访问的超链接" xfId="1430" builtinId="9" hidden="1"/>
    <cellStyle name="已访问的超链接" xfId="1432" builtinId="9" hidden="1"/>
    <cellStyle name="已访问的超链接" xfId="1434" builtinId="9" hidden="1"/>
    <cellStyle name="已访问的超链接" xfId="1436" builtinId="9" hidden="1"/>
    <cellStyle name="已访问的超链接" xfId="1438" builtinId="9" hidden="1"/>
    <cellStyle name="已访问的超链接" xfId="1440" builtinId="9" hidden="1"/>
    <cellStyle name="已访问的超链接" xfId="1442" builtinId="9" hidden="1"/>
    <cellStyle name="已访问的超链接" xfId="1444" builtinId="9" hidden="1"/>
    <cellStyle name="已访问的超链接" xfId="1446" builtinId="9" hidden="1"/>
    <cellStyle name="已访问的超链接" xfId="1448" builtinId="9" hidden="1"/>
    <cellStyle name="已访问的超链接" xfId="1450" builtinId="9" hidden="1"/>
    <cellStyle name="已访问的超链接" xfId="1452" builtinId="9" hidden="1"/>
    <cellStyle name="已访问的超链接" xfId="1454" builtinId="9" hidden="1"/>
    <cellStyle name="已访问的超链接" xfId="1456" builtinId="9" hidden="1"/>
    <cellStyle name="已访问的超链接" xfId="1458" builtinId="9" hidden="1"/>
    <cellStyle name="已访问的超链接" xfId="1460" builtinId="9" hidden="1"/>
    <cellStyle name="已访问的超链接" xfId="1462" builtinId="9" hidden="1"/>
    <cellStyle name="已访问的超链接" xfId="1464" builtinId="9" hidden="1"/>
    <cellStyle name="已访问的超链接" xfId="1466" builtinId="9" hidden="1"/>
    <cellStyle name="已访问的超链接" xfId="1468" builtinId="9" hidden="1"/>
    <cellStyle name="已访问的超链接" xfId="1470" builtinId="9" hidden="1"/>
    <cellStyle name="已访问的超链接" xfId="1472" builtinId="9" hidden="1"/>
    <cellStyle name="已访问的超链接" xfId="1474" builtinId="9" hidden="1"/>
    <cellStyle name="已访问的超链接" xfId="1476" builtinId="9" hidden="1"/>
    <cellStyle name="已访问的超链接" xfId="1478" builtinId="9" hidden="1"/>
    <cellStyle name="已访问的超链接" xfId="1480" builtinId="9" hidden="1"/>
    <cellStyle name="已访问的超链接" xfId="1482" builtinId="9" hidden="1"/>
    <cellStyle name="已访问的超链接" xfId="1484" builtinId="9" hidden="1"/>
    <cellStyle name="已访问的超链接" xfId="1486" builtinId="9" hidden="1"/>
    <cellStyle name="已访问的超链接" xfId="1488" builtinId="9" hidden="1"/>
    <cellStyle name="已访问的超链接" xfId="1490" builtinId="9" hidden="1"/>
    <cellStyle name="已访问的超链接" xfId="1492" builtinId="9" hidden="1"/>
    <cellStyle name="已访问的超链接" xfId="1494" builtinId="9" hidden="1"/>
    <cellStyle name="已访问的超链接" xfId="1496" builtinId="9" hidden="1"/>
    <cellStyle name="已访问的超链接" xfId="1498" builtinId="9" hidden="1"/>
    <cellStyle name="已访问的超链接" xfId="1500" builtinId="9" hidden="1"/>
    <cellStyle name="已访问的超链接" xfId="1502" builtinId="9" hidden="1"/>
    <cellStyle name="已访问的超链接" xfId="1504" builtinId="9" hidden="1"/>
    <cellStyle name="已访问的超链接" xfId="1506" builtinId="9" hidden="1"/>
    <cellStyle name="已访问的超链接" xfId="1508" builtinId="9" hidden="1"/>
    <cellStyle name="已访问的超链接" xfId="1510" builtinId="9" hidden="1"/>
    <cellStyle name="已访问的超链接" xfId="1512" builtinId="9" hidden="1"/>
    <cellStyle name="已访问的超链接" xfId="1514" builtinId="9" hidden="1"/>
    <cellStyle name="已访问的超链接" xfId="1516" builtinId="9" hidden="1"/>
    <cellStyle name="已访问的超链接" xfId="1518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3"/>
  <sheetViews>
    <sheetView workbookViewId="0">
      <selection activeCell="L17" sqref="L17"/>
    </sheetView>
  </sheetViews>
  <sheetFormatPr baseColWidth="10" defaultRowHeight="16"/>
  <cols>
    <col min="1" max="1" width="22.33203125" bestFit="1" customWidth="1"/>
    <col min="3" max="3" width="17.5" bestFit="1" customWidth="1"/>
    <col min="4" max="4" width="16" bestFit="1" customWidth="1"/>
    <col min="7" max="7" width="16.6640625" bestFit="1" customWidth="1"/>
    <col min="8" max="8" width="12.33203125" bestFit="1" customWidth="1"/>
    <col min="9" max="9" width="11.5" bestFit="1" customWidth="1"/>
    <col min="11" max="11" width="8.6640625" customWidth="1"/>
    <col min="12" max="12" width="18.33203125" customWidth="1"/>
  </cols>
  <sheetData>
    <row r="1" spans="1:17" ht="18">
      <c r="B1" t="s">
        <v>1</v>
      </c>
      <c r="C1" t="s">
        <v>181</v>
      </c>
      <c r="D1" t="s">
        <v>182</v>
      </c>
      <c r="E1" s="1" t="s">
        <v>0</v>
      </c>
    </row>
    <row r="2" spans="1:17" ht="16" customHeight="1">
      <c r="A2" t="s">
        <v>545</v>
      </c>
      <c r="B2" s="32">
        <v>1</v>
      </c>
      <c r="D2">
        <v>1</v>
      </c>
      <c r="E2" s="215" t="s">
        <v>563</v>
      </c>
      <c r="F2" s="215" t="s">
        <v>546</v>
      </c>
      <c r="G2" s="27"/>
      <c r="H2" s="215" t="s">
        <v>547</v>
      </c>
      <c r="I2" s="214" t="s">
        <v>548</v>
      </c>
      <c r="J2" s="214" t="s">
        <v>549</v>
      </c>
      <c r="K2" s="214" t="s">
        <v>550</v>
      </c>
      <c r="L2" s="219" t="s">
        <v>551</v>
      </c>
      <c r="M2" s="214" t="s">
        <v>552</v>
      </c>
      <c r="N2" s="214" t="s">
        <v>553</v>
      </c>
    </row>
    <row r="3" spans="1:17" ht="16" customHeight="1">
      <c r="A3" s="217" t="s">
        <v>544</v>
      </c>
      <c r="B3" s="33">
        <v>2</v>
      </c>
      <c r="D3" s="218">
        <v>15</v>
      </c>
      <c r="E3" s="215"/>
      <c r="F3" s="215"/>
      <c r="G3" s="27"/>
      <c r="H3" s="215"/>
      <c r="I3" s="214"/>
      <c r="J3" s="214"/>
      <c r="K3" s="214"/>
      <c r="L3" s="219"/>
      <c r="M3" s="214"/>
      <c r="N3" s="214"/>
      <c r="O3" s="213" t="s">
        <v>439</v>
      </c>
      <c r="P3" s="213"/>
      <c r="Q3" s="28"/>
    </row>
    <row r="4" spans="1:17" ht="16" customHeight="1">
      <c r="A4" s="217"/>
      <c r="B4" s="32">
        <v>10</v>
      </c>
      <c r="D4" s="218"/>
      <c r="E4" s="215"/>
      <c r="F4" s="215"/>
      <c r="G4" s="31"/>
      <c r="H4" s="215"/>
      <c r="I4" s="214"/>
      <c r="J4" s="214"/>
      <c r="K4" s="214"/>
      <c r="L4" s="29"/>
      <c r="M4" s="30"/>
      <c r="N4" s="30"/>
      <c r="O4" s="213" t="s">
        <v>513</v>
      </c>
      <c r="P4" s="213"/>
    </row>
    <row r="5" spans="1:17" ht="16" customHeight="1">
      <c r="A5" s="217"/>
      <c r="B5" s="34">
        <v>3</v>
      </c>
      <c r="D5" s="218"/>
      <c r="E5" s="215"/>
      <c r="F5" s="215"/>
      <c r="G5" s="27"/>
      <c r="H5" s="215"/>
      <c r="I5" s="20"/>
      <c r="J5" s="20"/>
      <c r="K5" s="20"/>
      <c r="M5" s="20"/>
      <c r="N5" s="20"/>
    </row>
    <row r="6" spans="1:17" ht="16" customHeight="1">
      <c r="A6" t="s">
        <v>2</v>
      </c>
      <c r="B6" s="32">
        <v>1</v>
      </c>
      <c r="D6">
        <v>1</v>
      </c>
      <c r="E6" s="215"/>
      <c r="F6" s="215"/>
      <c r="G6" s="27"/>
      <c r="H6" s="215"/>
      <c r="I6" s="214" t="s">
        <v>548</v>
      </c>
      <c r="J6" s="214" t="s">
        <v>549</v>
      </c>
      <c r="K6" s="214" t="s">
        <v>550</v>
      </c>
      <c r="L6" s="219" t="s">
        <v>551</v>
      </c>
      <c r="M6" s="214" t="s">
        <v>552</v>
      </c>
      <c r="N6" s="214" t="s">
        <v>553</v>
      </c>
    </row>
    <row r="7" spans="1:17" ht="16" customHeight="1">
      <c r="A7" t="s">
        <v>3</v>
      </c>
      <c r="B7" s="32">
        <v>5</v>
      </c>
      <c r="D7">
        <v>5</v>
      </c>
      <c r="E7" s="28"/>
      <c r="F7" s="28"/>
      <c r="G7" s="28"/>
      <c r="H7" s="215"/>
      <c r="I7" s="214"/>
      <c r="J7" s="214"/>
      <c r="K7" s="214"/>
      <c r="L7" s="219"/>
      <c r="M7" s="214"/>
      <c r="N7" s="214"/>
    </row>
    <row r="8" spans="1:17" ht="16" customHeight="1">
      <c r="A8" t="s">
        <v>567</v>
      </c>
      <c r="B8" s="32">
        <v>1</v>
      </c>
      <c r="D8">
        <v>1</v>
      </c>
      <c r="E8" s="215" t="s">
        <v>563</v>
      </c>
      <c r="F8" s="215" t="s">
        <v>546</v>
      </c>
      <c r="G8" s="27" t="s">
        <v>568</v>
      </c>
      <c r="H8" s="215"/>
      <c r="I8" s="214"/>
      <c r="J8" s="214"/>
      <c r="K8" s="214"/>
      <c r="L8" s="219"/>
      <c r="M8" s="214"/>
      <c r="N8" s="214"/>
    </row>
    <row r="9" spans="1:17" ht="16" customHeight="1">
      <c r="A9" t="s">
        <v>4</v>
      </c>
      <c r="B9">
        <v>10</v>
      </c>
      <c r="C9">
        <v>21</v>
      </c>
      <c r="D9">
        <v>7</v>
      </c>
      <c r="E9" s="215"/>
      <c r="F9" s="215"/>
      <c r="G9" s="27"/>
      <c r="I9" s="216" t="s">
        <v>542</v>
      </c>
      <c r="J9" s="216"/>
      <c r="K9" s="216"/>
    </row>
    <row r="10" spans="1:17" ht="16" customHeight="1">
      <c r="A10" t="s">
        <v>6</v>
      </c>
      <c r="B10">
        <v>6</v>
      </c>
      <c r="C10">
        <v>6</v>
      </c>
      <c r="D10">
        <v>0</v>
      </c>
      <c r="E10" s="215"/>
      <c r="F10" s="215"/>
      <c r="G10" s="27"/>
      <c r="I10" s="216" t="s">
        <v>440</v>
      </c>
      <c r="J10" s="216"/>
      <c r="K10" s="216"/>
    </row>
    <row r="11" spans="1:17" ht="16" customHeight="1">
      <c r="A11" s="21" t="s">
        <v>5</v>
      </c>
      <c r="B11">
        <v>5</v>
      </c>
      <c r="C11">
        <v>33</v>
      </c>
      <c r="D11">
        <v>1</v>
      </c>
      <c r="E11" s="215"/>
      <c r="F11" s="215"/>
      <c r="G11" s="27"/>
      <c r="I11" s="216" t="s">
        <v>443</v>
      </c>
      <c r="J11" s="216"/>
      <c r="K11" s="216"/>
    </row>
    <row r="12" spans="1:17" ht="16" customHeight="1">
      <c r="A12" t="s">
        <v>213</v>
      </c>
      <c r="B12">
        <v>10</v>
      </c>
      <c r="C12">
        <v>18</v>
      </c>
      <c r="D12">
        <v>5</v>
      </c>
      <c r="E12" s="215"/>
      <c r="F12" s="215"/>
      <c r="G12" s="27"/>
    </row>
    <row r="13" spans="1:17" ht="16" customHeight="1">
      <c r="A13" t="s">
        <v>541</v>
      </c>
      <c r="B13">
        <v>1</v>
      </c>
      <c r="C13">
        <v>16</v>
      </c>
      <c r="D13">
        <v>1</v>
      </c>
      <c r="E13" s="215"/>
      <c r="F13" s="215"/>
      <c r="G13" s="27"/>
    </row>
    <row r="14" spans="1:17" ht="16" customHeight="1">
      <c r="A14" t="s">
        <v>540</v>
      </c>
      <c r="B14">
        <v>2</v>
      </c>
      <c r="C14">
        <v>16</v>
      </c>
      <c r="D14">
        <v>1</v>
      </c>
      <c r="E14" s="215"/>
      <c r="F14" s="215"/>
      <c r="G14" s="27"/>
    </row>
    <row r="15" spans="1:17" ht="16" customHeight="1">
      <c r="A15" s="21" t="s">
        <v>566</v>
      </c>
      <c r="B15">
        <v>4</v>
      </c>
      <c r="C15">
        <v>10</v>
      </c>
      <c r="D15">
        <v>2</v>
      </c>
      <c r="E15" s="215"/>
      <c r="F15" s="215"/>
      <c r="G15" s="27"/>
    </row>
    <row r="16" spans="1:17" ht="16" customHeight="1">
      <c r="A16" s="21" t="s">
        <v>539</v>
      </c>
      <c r="B16">
        <v>6</v>
      </c>
      <c r="C16">
        <v>17</v>
      </c>
      <c r="D16">
        <v>4</v>
      </c>
      <c r="E16" s="215"/>
      <c r="F16" s="215"/>
      <c r="G16" s="27"/>
    </row>
    <row r="17" spans="1:15" ht="16" customHeight="1">
      <c r="B17">
        <f>SUM(B2:B16)</f>
        <v>67</v>
      </c>
      <c r="D17">
        <f>SUM(D2:D16)</f>
        <v>44</v>
      </c>
      <c r="E17">
        <f>39</f>
        <v>39</v>
      </c>
      <c r="F17">
        <f>E17*2</f>
        <v>78</v>
      </c>
      <c r="G17">
        <v>2</v>
      </c>
      <c r="H17">
        <v>46</v>
      </c>
      <c r="I17">
        <f>(13+7)*2</f>
        <v>40</v>
      </c>
      <c r="J17">
        <f t="shared" ref="J17:K17" si="0">(13+7)*2</f>
        <v>40</v>
      </c>
      <c r="K17">
        <f t="shared" si="0"/>
        <v>40</v>
      </c>
      <c r="L17">
        <f>(1+2+6+1)*2</f>
        <v>20</v>
      </c>
      <c r="M17">
        <f t="shared" ref="M17:N17" si="1">(1+2+6+1)*2</f>
        <v>20</v>
      </c>
      <c r="N17">
        <f t="shared" si="1"/>
        <v>20</v>
      </c>
      <c r="O17">
        <f>SUM(H17:N17)</f>
        <v>226</v>
      </c>
    </row>
    <row r="18" spans="1:15" ht="16" customHeight="1">
      <c r="G18">
        <f>SUM(E17:G17)</f>
        <v>119</v>
      </c>
    </row>
    <row r="19" spans="1:15" ht="16" customHeight="1"/>
    <row r="20" spans="1:15">
      <c r="B20" s="21"/>
      <c r="C20">
        <f>6*(1+8)</f>
        <v>54</v>
      </c>
      <c r="D20">
        <f>9*(1+6)</f>
        <v>63</v>
      </c>
      <c r="E20">
        <f>C20+D20</f>
        <v>117</v>
      </c>
      <c r="F20">
        <f>E20+G18</f>
        <v>236</v>
      </c>
      <c r="G20">
        <f>O17+E20+G18</f>
        <v>462</v>
      </c>
    </row>
    <row r="21" spans="1:15">
      <c r="B21" s="21"/>
    </row>
    <row r="22" spans="1:15">
      <c r="A22" s="21" t="s">
        <v>636</v>
      </c>
      <c r="B22" s="21"/>
      <c r="C22" s="212" t="s">
        <v>554</v>
      </c>
      <c r="D22" s="212"/>
    </row>
    <row r="23" spans="1:15">
      <c r="A23" s="32" t="s">
        <v>543</v>
      </c>
      <c r="C23" t="s">
        <v>560</v>
      </c>
      <c r="D23" t="s">
        <v>562</v>
      </c>
    </row>
    <row r="24" spans="1:15">
      <c r="A24" s="32" t="s">
        <v>489</v>
      </c>
      <c r="C24" t="s">
        <v>559</v>
      </c>
      <c r="D24" t="s">
        <v>559</v>
      </c>
    </row>
    <row r="25" spans="1:15">
      <c r="A25" s="38" t="s">
        <v>556</v>
      </c>
      <c r="C25" t="s">
        <v>558</v>
      </c>
      <c r="D25" t="s">
        <v>555</v>
      </c>
    </row>
    <row r="26" spans="1:15">
      <c r="A26" s="32" t="s">
        <v>494</v>
      </c>
      <c r="D26" t="s">
        <v>561</v>
      </c>
    </row>
    <row r="27" spans="1:15">
      <c r="A27" s="39" t="s">
        <v>495</v>
      </c>
      <c r="C27" t="s">
        <v>603</v>
      </c>
      <c r="D27" t="s">
        <v>564</v>
      </c>
    </row>
    <row r="28" spans="1:15" ht="16" customHeight="1">
      <c r="A28" s="38" t="s">
        <v>496</v>
      </c>
      <c r="C28" t="s">
        <v>320</v>
      </c>
      <c r="D28" t="s">
        <v>565</v>
      </c>
    </row>
    <row r="29" spans="1:15" ht="16" customHeight="1">
      <c r="A29" s="38" t="s">
        <v>497</v>
      </c>
      <c r="C29" t="s">
        <v>321</v>
      </c>
    </row>
    <row r="30" spans="1:15" ht="16" customHeight="1">
      <c r="A30" s="38" t="s">
        <v>542</v>
      </c>
      <c r="C30" t="s">
        <v>322</v>
      </c>
      <c r="D30" s="21" t="s">
        <v>604</v>
      </c>
    </row>
    <row r="31" spans="1:15" ht="16" customHeight="1">
      <c r="A31" s="32" t="s">
        <v>429</v>
      </c>
      <c r="C31" t="s">
        <v>323</v>
      </c>
      <c r="D31" t="s">
        <v>489</v>
      </c>
    </row>
    <row r="32" spans="1:15" ht="16" customHeight="1">
      <c r="A32" s="38" t="s">
        <v>438</v>
      </c>
      <c r="C32" t="s">
        <v>347</v>
      </c>
      <c r="D32" t="s">
        <v>494</v>
      </c>
    </row>
    <row r="33" spans="1:4" ht="16" customHeight="1">
      <c r="A33" s="32" t="s">
        <v>439</v>
      </c>
      <c r="D33" t="s">
        <v>429</v>
      </c>
    </row>
    <row r="34" spans="1:4" ht="16" customHeight="1">
      <c r="A34" s="38" t="s">
        <v>440</v>
      </c>
      <c r="D34" t="s">
        <v>439</v>
      </c>
    </row>
    <row r="35" spans="1:4">
      <c r="A35" s="38" t="s">
        <v>441</v>
      </c>
      <c r="D35" t="s">
        <v>513</v>
      </c>
    </row>
    <row r="36" spans="1:4">
      <c r="A36" s="32" t="s">
        <v>513</v>
      </c>
      <c r="D36" t="s">
        <v>442</v>
      </c>
    </row>
    <row r="37" spans="1:4">
      <c r="A37" s="32" t="s">
        <v>442</v>
      </c>
    </row>
    <row r="38" spans="1:4">
      <c r="A38" s="38" t="s">
        <v>443</v>
      </c>
    </row>
    <row r="39" spans="1:4">
      <c r="A39" s="32" t="s">
        <v>67</v>
      </c>
    </row>
    <row r="40" spans="1:4">
      <c r="A40" s="32" t="s">
        <v>75</v>
      </c>
    </row>
    <row r="41" spans="1:4">
      <c r="A41" s="32" t="s">
        <v>92</v>
      </c>
    </row>
    <row r="42" spans="1:4">
      <c r="A42" s="32" t="s">
        <v>96</v>
      </c>
    </row>
    <row r="43" spans="1:4">
      <c r="A43" s="32" t="s">
        <v>97</v>
      </c>
    </row>
    <row r="44" spans="1:4">
      <c r="A44" s="32" t="s">
        <v>117</v>
      </c>
    </row>
    <row r="45" spans="1:4">
      <c r="A45" s="32" t="s">
        <v>118</v>
      </c>
    </row>
    <row r="46" spans="1:4">
      <c r="A46" s="32" t="s">
        <v>232</v>
      </c>
    </row>
    <row r="47" spans="1:4">
      <c r="A47" s="32" t="s">
        <v>170</v>
      </c>
    </row>
    <row r="48" spans="1:4">
      <c r="A48" s="32" t="s">
        <v>183</v>
      </c>
    </row>
    <row r="49" spans="1:1">
      <c r="A49" s="32" t="s">
        <v>184</v>
      </c>
    </row>
    <row r="50" spans="1:1">
      <c r="A50" s="32" t="s">
        <v>185</v>
      </c>
    </row>
    <row r="51" spans="1:1">
      <c r="A51" s="32" t="s">
        <v>186</v>
      </c>
    </row>
    <row r="52" spans="1:1">
      <c r="A52" s="32" t="s">
        <v>207</v>
      </c>
    </row>
    <row r="53" spans="1:1">
      <c r="A53" s="32" t="s">
        <v>247</v>
      </c>
    </row>
    <row r="54" spans="1:1">
      <c r="A54" s="32" t="s">
        <v>464</v>
      </c>
    </row>
    <row r="55" spans="1:1">
      <c r="A55" s="32" t="s">
        <v>216</v>
      </c>
    </row>
    <row r="56" spans="1:1">
      <c r="A56" s="32" t="s">
        <v>217</v>
      </c>
    </row>
    <row r="57" spans="1:1">
      <c r="A57" s="32" t="s">
        <v>218</v>
      </c>
    </row>
    <row r="58" spans="1:1">
      <c r="A58" t="s">
        <v>579</v>
      </c>
    </row>
    <row r="59" spans="1:1">
      <c r="A59" t="s">
        <v>595</v>
      </c>
    </row>
    <row r="60" spans="1:1">
      <c r="A60" t="s">
        <v>795</v>
      </c>
    </row>
    <row r="61" spans="1:1">
      <c r="A61" t="s">
        <v>603</v>
      </c>
    </row>
    <row r="62" spans="1:1">
      <c r="A62" s="37" t="s">
        <v>320</v>
      </c>
    </row>
    <row r="63" spans="1:1">
      <c r="A63" s="37" t="s">
        <v>321</v>
      </c>
    </row>
    <row r="64" spans="1:1">
      <c r="A64" s="37" t="s">
        <v>322</v>
      </c>
    </row>
    <row r="65" spans="1:1">
      <c r="A65" s="37" t="s">
        <v>323</v>
      </c>
    </row>
    <row r="66" spans="1:1">
      <c r="A66" s="37" t="s">
        <v>347</v>
      </c>
    </row>
    <row r="67" spans="1:1">
      <c r="A67" s="37" t="s">
        <v>557</v>
      </c>
    </row>
    <row r="68" spans="1:1">
      <c r="A68" s="37" t="s">
        <v>129</v>
      </c>
    </row>
    <row r="69" spans="1:1">
      <c r="A69" s="37" t="s">
        <v>130</v>
      </c>
    </row>
    <row r="70" spans="1:1">
      <c r="A70" s="37" t="s">
        <v>131</v>
      </c>
    </row>
    <row r="71" spans="1:1">
      <c r="A71" s="37" t="s">
        <v>132</v>
      </c>
    </row>
    <row r="72" spans="1:1">
      <c r="A72" s="37" t="s">
        <v>133</v>
      </c>
    </row>
    <row r="73" spans="1:1">
      <c r="A73" s="36" t="s">
        <v>82</v>
      </c>
    </row>
  </sheetData>
  <mergeCells count="25">
    <mergeCell ref="A3:A5"/>
    <mergeCell ref="D3:D5"/>
    <mergeCell ref="L2:L3"/>
    <mergeCell ref="M2:M3"/>
    <mergeCell ref="H2:H8"/>
    <mergeCell ref="L6:L8"/>
    <mergeCell ref="M6:M8"/>
    <mergeCell ref="I2:I4"/>
    <mergeCell ref="I6:I8"/>
    <mergeCell ref="J2:J4"/>
    <mergeCell ref="J6:J8"/>
    <mergeCell ref="K2:K4"/>
    <mergeCell ref="K6:K8"/>
    <mergeCell ref="C22:D22"/>
    <mergeCell ref="O3:P3"/>
    <mergeCell ref="O4:P4"/>
    <mergeCell ref="N6:N8"/>
    <mergeCell ref="N2:N3"/>
    <mergeCell ref="E2:E6"/>
    <mergeCell ref="F2:F6"/>
    <mergeCell ref="F8:F16"/>
    <mergeCell ref="E8:E16"/>
    <mergeCell ref="I9:K9"/>
    <mergeCell ref="I10:K10"/>
    <mergeCell ref="I11:K11"/>
  </mergeCells>
  <phoneticPr fontId="2" type="noConversion"/>
  <pageMargins left="0.70000000000000007" right="0.70000000000000007" top="0.75000000000000011" bottom="0.75000000000000011" header="0.30000000000000004" footer="0.30000000000000004"/>
  <pageSetup paperSize="9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0"/>
  <sheetViews>
    <sheetView workbookViewId="0">
      <selection activeCell="D28" sqref="D28"/>
    </sheetView>
  </sheetViews>
  <sheetFormatPr baseColWidth="10" defaultRowHeight="16"/>
  <cols>
    <col min="1" max="1" width="18" customWidth="1"/>
    <col min="2" max="2" width="20.83203125" customWidth="1"/>
    <col min="3" max="3" width="22.5" customWidth="1"/>
    <col min="4" max="4" width="19.5" customWidth="1"/>
    <col min="5" max="5" width="17.83203125" customWidth="1"/>
    <col min="6" max="6" width="20.83203125" customWidth="1"/>
    <col min="7" max="7" width="12.5" bestFit="1" customWidth="1"/>
    <col min="8" max="8" width="15.5" bestFit="1" customWidth="1"/>
    <col min="9" max="9" width="11" bestFit="1" customWidth="1"/>
  </cols>
  <sheetData>
    <row r="1" spans="1:9">
      <c r="A1" s="215" t="s">
        <v>655</v>
      </c>
      <c r="B1" s="215"/>
      <c r="C1" s="215"/>
      <c r="D1" s="215"/>
      <c r="E1" s="215"/>
      <c r="F1" t="s">
        <v>605</v>
      </c>
      <c r="G1" t="s">
        <v>650</v>
      </c>
    </row>
    <row r="2" spans="1:9" ht="13" customHeight="1">
      <c r="A2" s="219" t="s">
        <v>551</v>
      </c>
      <c r="B2" s="214" t="s">
        <v>552</v>
      </c>
      <c r="C2" s="214" t="s">
        <v>553</v>
      </c>
      <c r="D2" s="214" t="s">
        <v>550</v>
      </c>
      <c r="E2" s="215" t="s">
        <v>617</v>
      </c>
      <c r="F2" t="s">
        <v>2</v>
      </c>
      <c r="G2" s="35">
        <v>1</v>
      </c>
      <c r="H2" t="s">
        <v>613</v>
      </c>
      <c r="I2">
        <f>SUM(A4:E4,A19:D19,A30)</f>
        <v>35</v>
      </c>
    </row>
    <row r="3" spans="1:9">
      <c r="A3" s="219"/>
      <c r="B3" s="214"/>
      <c r="C3" s="214"/>
      <c r="D3" s="214"/>
      <c r="E3" s="215"/>
      <c r="F3" t="s">
        <v>322</v>
      </c>
      <c r="G3" s="35">
        <v>1</v>
      </c>
      <c r="H3">
        <f>10*2</f>
        <v>20</v>
      </c>
      <c r="I3">
        <f>SUM(H3,H10,H24)</f>
        <v>157</v>
      </c>
    </row>
    <row r="4" spans="1:9">
      <c r="A4">
        <v>2</v>
      </c>
      <c r="B4">
        <v>2</v>
      </c>
      <c r="C4">
        <v>2</v>
      </c>
      <c r="D4">
        <v>2</v>
      </c>
      <c r="E4">
        <v>2</v>
      </c>
      <c r="H4" t="s">
        <v>652</v>
      </c>
    </row>
    <row r="5" spans="1:9">
      <c r="H5">
        <f>H3*1.25</f>
        <v>25</v>
      </c>
    </row>
    <row r="8" spans="1:9">
      <c r="G8" t="s">
        <v>650</v>
      </c>
    </row>
    <row r="9" spans="1:9">
      <c r="A9" s="220" t="s">
        <v>659</v>
      </c>
      <c r="B9" s="220"/>
      <c r="C9" s="220"/>
      <c r="D9" s="220"/>
      <c r="E9" s="28"/>
      <c r="F9" t="s">
        <v>634</v>
      </c>
      <c r="G9" s="35">
        <v>1</v>
      </c>
      <c r="H9" t="s">
        <v>633</v>
      </c>
    </row>
    <row r="10" spans="1:9">
      <c r="A10" t="s">
        <v>606</v>
      </c>
      <c r="B10" t="s">
        <v>614</v>
      </c>
      <c r="C10" t="s">
        <v>620</v>
      </c>
      <c r="D10" t="s">
        <v>618</v>
      </c>
      <c r="F10" t="s">
        <v>637</v>
      </c>
      <c r="G10" s="35">
        <v>1</v>
      </c>
      <c r="H10">
        <f>(9+3+6+1)*5</f>
        <v>95</v>
      </c>
    </row>
    <row r="11" spans="1:9">
      <c r="A11" t="s">
        <v>607</v>
      </c>
      <c r="B11" t="s">
        <v>615</v>
      </c>
      <c r="C11" t="s">
        <v>621</v>
      </c>
      <c r="F11" t="s">
        <v>649</v>
      </c>
      <c r="G11" s="35">
        <v>1</v>
      </c>
      <c r="H11" t="s">
        <v>651</v>
      </c>
      <c r="I11" t="s">
        <v>635</v>
      </c>
    </row>
    <row r="12" spans="1:9">
      <c r="A12" t="s">
        <v>608</v>
      </c>
      <c r="B12" t="s">
        <v>616</v>
      </c>
      <c r="C12" t="s">
        <v>622</v>
      </c>
      <c r="F12" t="s">
        <v>638</v>
      </c>
      <c r="G12" s="35">
        <v>1</v>
      </c>
      <c r="H12">
        <v>95</v>
      </c>
      <c r="I12">
        <f>SUM(H5,H12)</f>
        <v>120</v>
      </c>
    </row>
    <row r="13" spans="1:9">
      <c r="A13" t="s">
        <v>626</v>
      </c>
      <c r="C13" t="s">
        <v>623</v>
      </c>
      <c r="F13" t="s">
        <v>639</v>
      </c>
      <c r="G13" s="35">
        <v>1</v>
      </c>
    </row>
    <row r="14" spans="1:9">
      <c r="A14" t="s">
        <v>609</v>
      </c>
      <c r="C14" t="s">
        <v>624</v>
      </c>
    </row>
    <row r="15" spans="1:9">
      <c r="A15" t="s">
        <v>619</v>
      </c>
      <c r="C15" t="s">
        <v>625</v>
      </c>
    </row>
    <row r="16" spans="1:9">
      <c r="A16" t="s">
        <v>610</v>
      </c>
    </row>
    <row r="17" spans="1:9">
      <c r="A17" t="s">
        <v>611</v>
      </c>
    </row>
    <row r="18" spans="1:9">
      <c r="A18" t="s">
        <v>612</v>
      </c>
    </row>
    <row r="19" spans="1:9">
      <c r="A19">
        <v>9</v>
      </c>
      <c r="B19">
        <v>3</v>
      </c>
      <c r="C19">
        <v>6</v>
      </c>
      <c r="D19">
        <v>1</v>
      </c>
    </row>
    <row r="22" spans="1:9">
      <c r="G22" t="s">
        <v>650</v>
      </c>
    </row>
    <row r="23" spans="1:9">
      <c r="A23" t="s">
        <v>660</v>
      </c>
      <c r="F23" t="s">
        <v>634</v>
      </c>
      <c r="G23" s="35">
        <v>1</v>
      </c>
      <c r="H23" t="s">
        <v>645</v>
      </c>
    </row>
    <row r="24" spans="1:9">
      <c r="A24" t="s">
        <v>627</v>
      </c>
      <c r="F24" t="s">
        <v>640</v>
      </c>
      <c r="G24" s="35">
        <v>1</v>
      </c>
      <c r="H24">
        <v>42</v>
      </c>
      <c r="I24" t="s">
        <v>654</v>
      </c>
    </row>
    <row r="25" spans="1:9">
      <c r="A25" t="s">
        <v>628</v>
      </c>
      <c r="F25" t="s">
        <v>641</v>
      </c>
      <c r="G25" s="40" t="s">
        <v>647</v>
      </c>
      <c r="H25" t="s">
        <v>653</v>
      </c>
      <c r="I25" t="s">
        <v>646</v>
      </c>
    </row>
    <row r="26" spans="1:9">
      <c r="A26" t="s">
        <v>629</v>
      </c>
      <c r="F26" t="s">
        <v>497</v>
      </c>
      <c r="G26" s="35">
        <v>1</v>
      </c>
      <c r="H26">
        <f>H24*1.45</f>
        <v>60.9</v>
      </c>
      <c r="I26">
        <f>30+30+H26</f>
        <v>120.9</v>
      </c>
    </row>
    <row r="27" spans="1:9">
      <c r="A27" t="s">
        <v>630</v>
      </c>
      <c r="F27" t="s">
        <v>642</v>
      </c>
      <c r="G27" s="35">
        <v>1</v>
      </c>
    </row>
    <row r="28" spans="1:9">
      <c r="A28" t="s">
        <v>631</v>
      </c>
      <c r="F28" t="s">
        <v>643</v>
      </c>
      <c r="G28" s="40" t="s">
        <v>648</v>
      </c>
    </row>
    <row r="29" spans="1:9">
      <c r="A29" t="s">
        <v>632</v>
      </c>
      <c r="F29" t="s">
        <v>644</v>
      </c>
      <c r="G29" s="35">
        <v>1</v>
      </c>
    </row>
    <row r="30" spans="1:9">
      <c r="A30">
        <v>6</v>
      </c>
    </row>
  </sheetData>
  <mergeCells count="7">
    <mergeCell ref="E2:E3"/>
    <mergeCell ref="A1:E1"/>
    <mergeCell ref="A9:D9"/>
    <mergeCell ref="D2:D3"/>
    <mergeCell ref="A2:A3"/>
    <mergeCell ref="B2:B3"/>
    <mergeCell ref="C2:C3"/>
  </mergeCells>
  <phoneticPr fontId="2" type="noConversion"/>
  <pageMargins left="0.75000000000000011" right="0.75000000000000011" top="1" bottom="1" header="0.5" footer="0.5"/>
  <pageSetup paperSize="9" scale="70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4"/>
  <sheetViews>
    <sheetView workbookViewId="0">
      <selection activeCell="D28" sqref="D28"/>
    </sheetView>
  </sheetViews>
  <sheetFormatPr baseColWidth="10" defaultRowHeight="16"/>
  <cols>
    <col min="1" max="1" width="19.5" customWidth="1"/>
    <col min="2" max="2" width="17.5" bestFit="1" customWidth="1"/>
    <col min="3" max="3" width="16.6640625" bestFit="1" customWidth="1"/>
    <col min="4" max="4" width="14.33203125" bestFit="1" customWidth="1"/>
    <col min="5" max="5" width="14.6640625" bestFit="1" customWidth="1"/>
    <col min="6" max="6" width="18.6640625" customWidth="1"/>
    <col min="7" max="7" width="17.6640625" customWidth="1"/>
  </cols>
  <sheetData>
    <row r="1" spans="1:8">
      <c r="A1" s="221" t="s">
        <v>688</v>
      </c>
      <c r="B1" s="221"/>
      <c r="C1" s="221"/>
      <c r="D1" s="221"/>
      <c r="E1" s="221"/>
      <c r="F1" t="s">
        <v>605</v>
      </c>
      <c r="G1" t="s">
        <v>650</v>
      </c>
    </row>
    <row r="2" spans="1:8">
      <c r="A2" s="219" t="s">
        <v>783</v>
      </c>
      <c r="B2" s="214" t="s">
        <v>784</v>
      </c>
      <c r="C2" s="214" t="s">
        <v>785</v>
      </c>
      <c r="D2" s="214" t="s">
        <v>786</v>
      </c>
      <c r="E2" s="215" t="s">
        <v>787</v>
      </c>
      <c r="F2" t="s">
        <v>2</v>
      </c>
      <c r="G2" s="41" t="s">
        <v>1293</v>
      </c>
      <c r="H2" t="s">
        <v>756</v>
      </c>
    </row>
    <row r="3" spans="1:8">
      <c r="A3" s="219"/>
      <c r="B3" s="214"/>
      <c r="C3" s="214"/>
      <c r="D3" s="214"/>
      <c r="E3" s="215"/>
      <c r="F3" t="s">
        <v>658</v>
      </c>
      <c r="G3" s="41">
        <v>1</v>
      </c>
      <c r="H3">
        <f>E5*6</f>
        <v>60</v>
      </c>
    </row>
    <row r="4" spans="1:8">
      <c r="A4">
        <v>2</v>
      </c>
      <c r="B4">
        <v>2</v>
      </c>
      <c r="C4">
        <v>2</v>
      </c>
      <c r="D4">
        <v>2</v>
      </c>
      <c r="E4">
        <v>2</v>
      </c>
      <c r="F4" t="s">
        <v>755</v>
      </c>
      <c r="G4" s="41" t="s">
        <v>1291</v>
      </c>
      <c r="H4" t="s">
        <v>752</v>
      </c>
    </row>
    <row r="5" spans="1:8">
      <c r="E5">
        <f>SUM(A4:E4)</f>
        <v>10</v>
      </c>
      <c r="F5" s="32" t="s">
        <v>543</v>
      </c>
      <c r="G5" s="43" t="s">
        <v>1294</v>
      </c>
      <c r="H5">
        <f>H3*1.5</f>
        <v>90</v>
      </c>
    </row>
    <row r="6" spans="1:8">
      <c r="F6" t="s">
        <v>556</v>
      </c>
      <c r="G6" s="43" t="s">
        <v>1294</v>
      </c>
    </row>
    <row r="7" spans="1:8">
      <c r="F7" t="s">
        <v>737</v>
      </c>
      <c r="G7" s="45">
        <v>1</v>
      </c>
    </row>
    <row r="9" spans="1:8">
      <c r="A9" s="219" t="s">
        <v>783</v>
      </c>
      <c r="F9" t="s">
        <v>638</v>
      </c>
      <c r="G9" s="43">
        <v>1</v>
      </c>
      <c r="H9" t="s">
        <v>757</v>
      </c>
    </row>
    <row r="10" spans="1:8">
      <c r="A10" s="219"/>
      <c r="F10" t="s">
        <v>644</v>
      </c>
      <c r="G10" s="43">
        <v>1</v>
      </c>
      <c r="H10">
        <f>A11*2</f>
        <v>4</v>
      </c>
    </row>
    <row r="11" spans="1:8">
      <c r="A11">
        <v>2</v>
      </c>
      <c r="G11" s="45"/>
      <c r="H11" t="s">
        <v>752</v>
      </c>
    </row>
    <row r="12" spans="1:8">
      <c r="G12" s="45"/>
      <c r="H12">
        <f>H10*1.5</f>
        <v>6</v>
      </c>
    </row>
    <row r="13" spans="1:8">
      <c r="G13" s="45"/>
    </row>
    <row r="15" spans="1:8">
      <c r="A15" s="220" t="s">
        <v>753</v>
      </c>
      <c r="B15" s="220"/>
      <c r="C15" s="220"/>
      <c r="D15" s="220"/>
      <c r="E15" s="220"/>
      <c r="F15" s="48" t="s">
        <v>737</v>
      </c>
      <c r="G15" s="49">
        <v>1</v>
      </c>
      <c r="H15" t="s">
        <v>758</v>
      </c>
    </row>
    <row r="16" spans="1:8">
      <c r="A16" t="s">
        <v>754</v>
      </c>
      <c r="F16" t="s">
        <v>730</v>
      </c>
      <c r="G16" s="43">
        <v>1</v>
      </c>
      <c r="H16">
        <f>A17*4</f>
        <v>4</v>
      </c>
    </row>
    <row r="17" spans="1:10">
      <c r="A17">
        <v>1</v>
      </c>
      <c r="F17" t="s">
        <v>724</v>
      </c>
      <c r="G17" s="43" t="s">
        <v>1292</v>
      </c>
      <c r="H17" t="s">
        <v>759</v>
      </c>
    </row>
    <row r="18" spans="1:10">
      <c r="F18" t="s">
        <v>718</v>
      </c>
      <c r="G18" s="43">
        <v>1</v>
      </c>
      <c r="H18">
        <f>H16*1.5</f>
        <v>6</v>
      </c>
    </row>
    <row r="19" spans="1:10">
      <c r="F19" t="s">
        <v>711</v>
      </c>
      <c r="G19" s="43">
        <v>1</v>
      </c>
    </row>
    <row r="23" spans="1:10">
      <c r="A23" s="220" t="s">
        <v>689</v>
      </c>
      <c r="B23" s="220"/>
      <c r="C23" s="220"/>
      <c r="D23" s="220"/>
      <c r="E23" s="220"/>
      <c r="F23" t="s">
        <v>92</v>
      </c>
      <c r="G23" s="43">
        <v>0.9</v>
      </c>
      <c r="H23" t="s">
        <v>760</v>
      </c>
    </row>
    <row r="24" spans="1:10">
      <c r="A24" t="s">
        <v>606</v>
      </c>
      <c r="B24" t="s">
        <v>618</v>
      </c>
      <c r="F24" t="s">
        <v>761</v>
      </c>
      <c r="G24" s="43">
        <v>1</v>
      </c>
      <c r="H24">
        <f>B34*2</f>
        <v>20</v>
      </c>
    </row>
    <row r="25" spans="1:10">
      <c r="A25" t="s">
        <v>607</v>
      </c>
      <c r="H25" t="s">
        <v>751</v>
      </c>
    </row>
    <row r="26" spans="1:10">
      <c r="A26" t="s">
        <v>608</v>
      </c>
      <c r="H26">
        <f>H24*1</f>
        <v>20</v>
      </c>
      <c r="J26">
        <f>SUM(H5,H12,H18,H26)</f>
        <v>122</v>
      </c>
    </row>
    <row r="27" spans="1:10">
      <c r="A27" t="s">
        <v>626</v>
      </c>
    </row>
    <row r="28" spans="1:10">
      <c r="A28" t="s">
        <v>609</v>
      </c>
    </row>
    <row r="29" spans="1:10">
      <c r="A29" t="s">
        <v>619</v>
      </c>
    </row>
    <row r="30" spans="1:10">
      <c r="A30" t="s">
        <v>610</v>
      </c>
    </row>
    <row r="31" spans="1:10">
      <c r="A31" t="s">
        <v>611</v>
      </c>
    </row>
    <row r="32" spans="1:10">
      <c r="A32" t="s">
        <v>612</v>
      </c>
    </row>
    <row r="33" spans="1:2">
      <c r="A33">
        <v>9</v>
      </c>
      <c r="B33">
        <v>1</v>
      </c>
    </row>
    <row r="34" spans="1:2">
      <c r="B34">
        <f>SUM(A33:B33)</f>
        <v>10</v>
      </c>
    </row>
  </sheetData>
  <mergeCells count="9">
    <mergeCell ref="A23:E23"/>
    <mergeCell ref="A15:E15"/>
    <mergeCell ref="A1:E1"/>
    <mergeCell ref="A2:A3"/>
    <mergeCell ref="C2:C3"/>
    <mergeCell ref="B2:B3"/>
    <mergeCell ref="D2:D3"/>
    <mergeCell ref="E2:E3"/>
    <mergeCell ref="A9:A10"/>
  </mergeCells>
  <phoneticPr fontId="2" type="noConversion"/>
  <pageMargins left="0.75000000000000011" right="0.75000000000000011" top="1" bottom="1" header="0.5" footer="0.5"/>
  <pageSetup paperSize="9" scale="72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20"/>
  <sheetViews>
    <sheetView workbookViewId="0">
      <selection activeCell="E6" sqref="E6"/>
    </sheetView>
  </sheetViews>
  <sheetFormatPr baseColWidth="10" defaultRowHeight="16"/>
  <cols>
    <col min="1" max="1" width="31.5" customWidth="1"/>
    <col min="2" max="2" width="19.33203125" customWidth="1"/>
    <col min="3" max="3" width="17.6640625" customWidth="1"/>
    <col min="4" max="4" width="17.83203125" customWidth="1"/>
    <col min="5" max="5" width="17.5" customWidth="1"/>
  </cols>
  <sheetData>
    <row r="1" spans="1:8">
      <c r="A1" s="222" t="s">
        <v>1269</v>
      </c>
      <c r="B1" s="222"/>
      <c r="C1" s="222"/>
      <c r="D1" s="222"/>
      <c r="E1" t="s">
        <v>605</v>
      </c>
      <c r="F1" t="s">
        <v>650</v>
      </c>
    </row>
    <row r="2" spans="1:8" ht="13" customHeight="1">
      <c r="A2" s="219" t="s">
        <v>796</v>
      </c>
      <c r="B2" s="219" t="s">
        <v>797</v>
      </c>
      <c r="C2" s="223" t="s">
        <v>656</v>
      </c>
      <c r="D2" s="219" t="s">
        <v>657</v>
      </c>
      <c r="E2" t="s">
        <v>788</v>
      </c>
      <c r="F2" s="51" t="s">
        <v>1293</v>
      </c>
      <c r="G2" t="s">
        <v>807</v>
      </c>
    </row>
    <row r="3" spans="1:8">
      <c r="A3" s="219"/>
      <c r="B3" s="219"/>
      <c r="C3" s="223"/>
      <c r="D3" s="219"/>
      <c r="E3" t="s">
        <v>755</v>
      </c>
      <c r="F3" s="51" t="s">
        <v>1291</v>
      </c>
      <c r="G3">
        <v>40</v>
      </c>
    </row>
    <row r="4" spans="1:8">
      <c r="A4" s="53">
        <v>2</v>
      </c>
      <c r="B4" s="53">
        <v>2</v>
      </c>
      <c r="C4" s="53">
        <v>2</v>
      </c>
      <c r="D4" s="53">
        <v>2</v>
      </c>
      <c r="E4" s="32" t="s">
        <v>789</v>
      </c>
      <c r="F4" s="51">
        <v>1</v>
      </c>
      <c r="G4" t="s">
        <v>752</v>
      </c>
    </row>
    <row r="5" spans="1:8">
      <c r="D5">
        <f>SUM(A4:D4)</f>
        <v>8</v>
      </c>
      <c r="E5" t="s">
        <v>737</v>
      </c>
      <c r="F5" s="51">
        <v>1</v>
      </c>
      <c r="G5">
        <f>G3*1.5</f>
        <v>60</v>
      </c>
    </row>
    <row r="6" spans="1:8">
      <c r="E6" t="s">
        <v>730</v>
      </c>
      <c r="F6" s="51">
        <v>1</v>
      </c>
    </row>
    <row r="7" spans="1:8">
      <c r="F7" s="51"/>
    </row>
    <row r="8" spans="1:8">
      <c r="F8" s="51"/>
    </row>
    <row r="13" spans="1:8">
      <c r="A13" t="s">
        <v>790</v>
      </c>
      <c r="E13" t="s">
        <v>634</v>
      </c>
      <c r="F13" s="52">
        <v>1</v>
      </c>
      <c r="G13" t="s">
        <v>794</v>
      </c>
    </row>
    <row r="14" spans="1:8">
      <c r="A14" t="s">
        <v>627</v>
      </c>
      <c r="E14" t="s">
        <v>640</v>
      </c>
      <c r="F14" s="52">
        <v>1</v>
      </c>
      <c r="G14">
        <v>42</v>
      </c>
    </row>
    <row r="15" spans="1:8">
      <c r="A15" t="s">
        <v>628</v>
      </c>
      <c r="E15" t="s">
        <v>641</v>
      </c>
      <c r="F15" s="40" t="s">
        <v>1290</v>
      </c>
      <c r="G15" t="s">
        <v>792</v>
      </c>
    </row>
    <row r="16" spans="1:8">
      <c r="A16" t="s">
        <v>629</v>
      </c>
      <c r="E16" t="s">
        <v>497</v>
      </c>
      <c r="F16" s="52">
        <v>1</v>
      </c>
      <c r="G16">
        <f>G14*1.5</f>
        <v>63</v>
      </c>
      <c r="H16">
        <f>SUM(G5,G16)</f>
        <v>123</v>
      </c>
    </row>
    <row r="17" spans="1:6">
      <c r="A17" t="s">
        <v>630</v>
      </c>
      <c r="E17" t="s">
        <v>643</v>
      </c>
      <c r="F17" s="40" t="s">
        <v>793</v>
      </c>
    </row>
    <row r="18" spans="1:6">
      <c r="A18" t="s">
        <v>631</v>
      </c>
      <c r="E18" t="s">
        <v>644</v>
      </c>
      <c r="F18" s="52">
        <v>1</v>
      </c>
    </row>
    <row r="19" spans="1:6">
      <c r="A19" t="s">
        <v>791</v>
      </c>
      <c r="E19" t="s">
        <v>800</v>
      </c>
      <c r="F19" s="52">
        <v>1</v>
      </c>
    </row>
    <row r="20" spans="1:6">
      <c r="A20">
        <v>6</v>
      </c>
    </row>
  </sheetData>
  <mergeCells count="5">
    <mergeCell ref="A1:D1"/>
    <mergeCell ref="A2:A3"/>
    <mergeCell ref="B2:B3"/>
    <mergeCell ref="C2:C3"/>
    <mergeCell ref="D2:D3"/>
  </mergeCells>
  <phoneticPr fontId="2" type="noConversion"/>
  <pageMargins left="0.75000000000000011" right="0.75000000000000011" top="1" bottom="1" header="0.5" footer="0.5"/>
  <pageSetup paperSize="9" scale="84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87"/>
  <sheetViews>
    <sheetView topLeftCell="A17" zoomScaleNormal="100" workbookViewId="0">
      <selection activeCell="C33" sqref="C33"/>
    </sheetView>
  </sheetViews>
  <sheetFormatPr baseColWidth="10" defaultRowHeight="16"/>
  <cols>
    <col min="1" max="1" width="13" customWidth="1"/>
    <col min="2" max="2" width="14.1640625" customWidth="1"/>
    <col min="3" max="3" width="21.33203125" customWidth="1"/>
    <col min="4" max="4" width="17.33203125" customWidth="1"/>
    <col min="5" max="5" width="16.1640625" customWidth="1"/>
    <col min="6" max="6" width="18.6640625" style="69" bestFit="1" customWidth="1"/>
    <col min="7" max="7" width="10.83203125" style="69" customWidth="1"/>
    <col min="8" max="8" width="19.6640625" bestFit="1" customWidth="1"/>
    <col min="9" max="9" width="17.33203125" bestFit="1" customWidth="1"/>
  </cols>
  <sheetData>
    <row r="2" spans="1:9">
      <c r="A2" s="226" t="s">
        <v>1330</v>
      </c>
      <c r="B2" s="227"/>
      <c r="C2" s="227"/>
      <c r="D2" s="227"/>
      <c r="E2" s="227"/>
      <c r="F2" s="227"/>
      <c r="G2" s="227"/>
      <c r="H2" s="227"/>
      <c r="I2" s="227"/>
    </row>
    <row r="3" spans="1:9">
      <c r="A3" s="72"/>
      <c r="B3" s="72"/>
      <c r="C3" s="72"/>
      <c r="D3" s="88" t="s">
        <v>1313</v>
      </c>
      <c r="E3" s="95"/>
      <c r="F3" s="98" t="s">
        <v>1314</v>
      </c>
      <c r="G3" s="99"/>
      <c r="I3" t="s">
        <v>1353</v>
      </c>
    </row>
    <row r="4" spans="1:9">
      <c r="A4" s="212" t="s">
        <v>1270</v>
      </c>
      <c r="B4" s="212"/>
      <c r="C4" s="228"/>
      <c r="D4" s="82" t="s">
        <v>1298</v>
      </c>
      <c r="E4" s="84" t="s">
        <v>1320</v>
      </c>
      <c r="F4" s="85" t="s">
        <v>1299</v>
      </c>
      <c r="G4" s="84" t="s">
        <v>1321</v>
      </c>
    </row>
    <row r="5" spans="1:9" ht="16" customHeight="1">
      <c r="A5" s="67" t="s">
        <v>1333</v>
      </c>
      <c r="C5" t="s">
        <v>788</v>
      </c>
      <c r="D5" s="78">
        <v>10</v>
      </c>
      <c r="E5" s="93"/>
      <c r="F5" s="74" t="s">
        <v>1342</v>
      </c>
      <c r="G5" s="229" t="s">
        <v>1351</v>
      </c>
      <c r="H5" s="229" t="s">
        <v>1354</v>
      </c>
      <c r="I5" t="s">
        <v>1352</v>
      </c>
    </row>
    <row r="6" spans="1:9">
      <c r="A6" s="67" t="s">
        <v>1334</v>
      </c>
      <c r="C6" s="68" t="s">
        <v>755</v>
      </c>
      <c r="D6" s="79">
        <v>6</v>
      </c>
      <c r="E6" s="94"/>
      <c r="F6" s="75" t="s">
        <v>1343</v>
      </c>
      <c r="G6" s="230"/>
      <c r="H6" s="230"/>
      <c r="I6">
        <v>40</v>
      </c>
    </row>
    <row r="7" spans="1:9">
      <c r="A7" s="67" t="s">
        <v>1335</v>
      </c>
      <c r="C7" s="68" t="s">
        <v>789</v>
      </c>
      <c r="D7" s="79">
        <v>9</v>
      </c>
      <c r="E7" s="94"/>
      <c r="F7" s="75" t="s">
        <v>1344</v>
      </c>
      <c r="G7" s="229" t="s">
        <v>1351</v>
      </c>
      <c r="H7" s="230"/>
      <c r="I7" t="s">
        <v>752</v>
      </c>
    </row>
    <row r="8" spans="1:9">
      <c r="A8" s="67" t="s">
        <v>1336</v>
      </c>
      <c r="C8" t="s">
        <v>1283</v>
      </c>
      <c r="D8" s="79">
        <v>9</v>
      </c>
      <c r="E8" s="94"/>
      <c r="F8" s="75" t="s">
        <v>1345</v>
      </c>
      <c r="G8" s="230"/>
      <c r="H8" s="231"/>
      <c r="I8">
        <f>I6*1.5</f>
        <v>60</v>
      </c>
    </row>
    <row r="9" spans="1:9" ht="16" customHeight="1">
      <c r="A9" s="20" t="s">
        <v>1337</v>
      </c>
      <c r="C9" t="s">
        <v>1271</v>
      </c>
      <c r="D9" s="91">
        <v>9</v>
      </c>
      <c r="E9" s="95"/>
      <c r="F9" s="75" t="s">
        <v>1346</v>
      </c>
      <c r="G9" s="229" t="s">
        <v>1350</v>
      </c>
      <c r="H9" s="229" t="s">
        <v>1355</v>
      </c>
    </row>
    <row r="10" spans="1:9" ht="17">
      <c r="A10" s="20" t="s">
        <v>1338</v>
      </c>
      <c r="C10">
        <v>5</v>
      </c>
      <c r="D10" s="83" t="s">
        <v>1398</v>
      </c>
      <c r="E10" s="96" t="s">
        <v>1341</v>
      </c>
      <c r="F10" s="75" t="s">
        <v>1347</v>
      </c>
      <c r="G10" s="230"/>
      <c r="H10" s="230"/>
    </row>
    <row r="11" spans="1:9">
      <c r="A11" s="28" t="s">
        <v>1339</v>
      </c>
      <c r="D11" s="70"/>
      <c r="E11" s="97" t="s">
        <v>1312</v>
      </c>
      <c r="F11" s="75" t="s">
        <v>1348</v>
      </c>
      <c r="G11" s="230"/>
      <c r="H11" s="230"/>
      <c r="I11" s="100"/>
    </row>
    <row r="12" spans="1:9">
      <c r="A12" s="28" t="s">
        <v>1340</v>
      </c>
      <c r="D12" s="70"/>
      <c r="E12" s="70"/>
      <c r="F12" s="77" t="s">
        <v>1349</v>
      </c>
      <c r="G12" s="231"/>
      <c r="H12" s="231"/>
      <c r="I12" s="100"/>
    </row>
    <row r="13" spans="1:9">
      <c r="A13">
        <v>8</v>
      </c>
      <c r="F13" s="86" t="s">
        <v>1315</v>
      </c>
      <c r="G13" s="70"/>
      <c r="H13" s="87"/>
    </row>
    <row r="14" spans="1:9">
      <c r="F14" s="76" t="s">
        <v>1316</v>
      </c>
      <c r="G14" s="70"/>
      <c r="H14" s="87"/>
    </row>
    <row r="15" spans="1:9">
      <c r="F15" s="77" t="s">
        <v>1317</v>
      </c>
      <c r="G15" s="70"/>
    </row>
    <row r="16" spans="1:9">
      <c r="F16" s="92"/>
      <c r="G16" s="70"/>
    </row>
    <row r="17" spans="1:9">
      <c r="A17" s="226" t="s">
        <v>1329</v>
      </c>
      <c r="B17" s="227"/>
      <c r="C17" s="227"/>
      <c r="D17" s="227"/>
      <c r="E17" s="227"/>
      <c r="F17" s="227"/>
      <c r="G17" s="227"/>
      <c r="H17" s="227"/>
      <c r="I17" s="232"/>
    </row>
    <row r="18" spans="1:9">
      <c r="D18" s="88" t="s">
        <v>1313</v>
      </c>
      <c r="E18" s="69"/>
      <c r="F18" s="89" t="s">
        <v>1314</v>
      </c>
      <c r="G18"/>
      <c r="I18" t="s">
        <v>1332</v>
      </c>
    </row>
    <row r="19" spans="1:9" ht="16" customHeight="1">
      <c r="A19" s="220" t="s">
        <v>691</v>
      </c>
      <c r="B19" s="220"/>
      <c r="C19" s="220"/>
      <c r="D19" s="82" t="s">
        <v>1298</v>
      </c>
      <c r="E19" s="84" t="s">
        <v>1320</v>
      </c>
      <c r="F19" s="85" t="s">
        <v>1299</v>
      </c>
      <c r="G19" s="84" t="s">
        <v>1321</v>
      </c>
    </row>
    <row r="20" spans="1:9" ht="16" customHeight="1">
      <c r="A20" t="s">
        <v>690</v>
      </c>
      <c r="C20" t="s">
        <v>2</v>
      </c>
      <c r="D20" s="79">
        <v>5</v>
      </c>
      <c r="E20" s="236" t="s">
        <v>1322</v>
      </c>
      <c r="F20" s="75" t="s">
        <v>1300</v>
      </c>
      <c r="G20" s="229" t="s">
        <v>1323</v>
      </c>
      <c r="H20" s="229" t="s">
        <v>1356</v>
      </c>
      <c r="I20" t="s">
        <v>1295</v>
      </c>
    </row>
    <row r="21" spans="1:9">
      <c r="A21" t="s">
        <v>619</v>
      </c>
      <c r="C21" t="s">
        <v>1273</v>
      </c>
      <c r="D21" s="79">
        <v>5</v>
      </c>
      <c r="E21" s="237"/>
      <c r="F21" s="75" t="s">
        <v>1301</v>
      </c>
      <c r="G21" s="230"/>
      <c r="H21" s="230"/>
      <c r="I21">
        <v>30</v>
      </c>
    </row>
    <row r="22" spans="1:9">
      <c r="A22" t="s">
        <v>611</v>
      </c>
      <c r="C22" t="s">
        <v>1274</v>
      </c>
      <c r="D22" s="79">
        <v>5</v>
      </c>
      <c r="E22" s="237"/>
      <c r="F22" s="75" t="s">
        <v>1302</v>
      </c>
      <c r="G22" s="230"/>
      <c r="H22" s="230"/>
      <c r="I22" t="s">
        <v>751</v>
      </c>
    </row>
    <row r="23" spans="1:9">
      <c r="A23" t="s">
        <v>612</v>
      </c>
      <c r="C23" t="s">
        <v>1275</v>
      </c>
      <c r="D23" s="79">
        <v>5</v>
      </c>
      <c r="E23" s="237"/>
      <c r="F23" s="75" t="s">
        <v>1303</v>
      </c>
      <c r="G23" s="230"/>
      <c r="H23" s="230"/>
      <c r="I23">
        <f>I21*1</f>
        <v>30</v>
      </c>
    </row>
    <row r="24" spans="1:9">
      <c r="A24" t="s">
        <v>750</v>
      </c>
      <c r="C24" t="s">
        <v>1276</v>
      </c>
      <c r="D24" s="79">
        <v>2.5</v>
      </c>
      <c r="E24" s="237"/>
      <c r="F24" s="75" t="s">
        <v>1304</v>
      </c>
      <c r="G24" s="231"/>
      <c r="H24" s="231"/>
    </row>
    <row r="25" spans="1:9">
      <c r="A25">
        <v>5</v>
      </c>
      <c r="C25" s="105" t="s">
        <v>1126</v>
      </c>
      <c r="D25" s="79">
        <v>5</v>
      </c>
      <c r="E25" s="238"/>
      <c r="F25" s="75"/>
      <c r="G25"/>
    </row>
    <row r="26" spans="1:9">
      <c r="C26" s="71">
        <v>6</v>
      </c>
      <c r="D26" s="83" t="s">
        <v>1318</v>
      </c>
      <c r="E26" s="80" t="s">
        <v>1311</v>
      </c>
      <c r="F26" s="86" t="s">
        <v>1315</v>
      </c>
      <c r="G26"/>
    </row>
    <row r="27" spans="1:9">
      <c r="D27" s="69"/>
      <c r="E27" s="81" t="s">
        <v>1312</v>
      </c>
      <c r="F27" s="76" t="s">
        <v>1316</v>
      </c>
      <c r="G27"/>
    </row>
    <row r="28" spans="1:9" ht="14" customHeight="1">
      <c r="D28" s="69"/>
      <c r="E28" s="69"/>
      <c r="F28" s="77" t="s">
        <v>1317</v>
      </c>
      <c r="G28"/>
    </row>
    <row r="29" spans="1:9" ht="14" customHeight="1">
      <c r="D29" s="69"/>
      <c r="E29" s="69"/>
      <c r="F29"/>
      <c r="G29"/>
    </row>
    <row r="30" spans="1:9">
      <c r="A30" s="220" t="s">
        <v>692</v>
      </c>
      <c r="B30" s="220"/>
      <c r="C30" s="220"/>
      <c r="D30" s="82" t="s">
        <v>1298</v>
      </c>
      <c r="E30" s="84" t="s">
        <v>1320</v>
      </c>
      <c r="F30" s="85" t="s">
        <v>1299</v>
      </c>
      <c r="G30" s="84" t="s">
        <v>1321</v>
      </c>
    </row>
    <row r="31" spans="1:9">
      <c r="A31" t="s">
        <v>690</v>
      </c>
      <c r="C31" t="s">
        <v>737</v>
      </c>
      <c r="D31" s="78">
        <v>5</v>
      </c>
      <c r="E31" s="236" t="s">
        <v>1322</v>
      </c>
      <c r="F31" s="74" t="s">
        <v>1305</v>
      </c>
      <c r="G31" s="229" t="s">
        <v>1323</v>
      </c>
      <c r="H31" s="229" t="s">
        <v>1359</v>
      </c>
      <c r="I31" t="s">
        <v>1296</v>
      </c>
    </row>
    <row r="32" spans="1:9">
      <c r="A32" t="s">
        <v>619</v>
      </c>
      <c r="C32" t="s">
        <v>730</v>
      </c>
      <c r="D32" s="79">
        <v>5</v>
      </c>
      <c r="E32" s="237"/>
      <c r="F32" s="75" t="s">
        <v>1306</v>
      </c>
      <c r="G32" s="230"/>
      <c r="H32" s="230"/>
      <c r="I32">
        <v>25</v>
      </c>
    </row>
    <row r="33" spans="1:9">
      <c r="A33" t="s">
        <v>611</v>
      </c>
      <c r="C33" t="s">
        <v>724</v>
      </c>
      <c r="D33" s="79">
        <v>10</v>
      </c>
      <c r="E33" s="237"/>
      <c r="F33" s="75" t="s">
        <v>1307</v>
      </c>
      <c r="G33" s="230"/>
      <c r="H33" s="230"/>
      <c r="I33" t="s">
        <v>751</v>
      </c>
    </row>
    <row r="34" spans="1:9">
      <c r="A34" t="s">
        <v>612</v>
      </c>
      <c r="C34" t="s">
        <v>718</v>
      </c>
      <c r="D34" s="79">
        <v>5</v>
      </c>
      <c r="E34" s="237"/>
      <c r="F34" s="75" t="s">
        <v>1308</v>
      </c>
      <c r="G34" s="230"/>
      <c r="H34" s="230"/>
      <c r="I34">
        <f>I32*1</f>
        <v>25</v>
      </c>
    </row>
    <row r="35" spans="1:9">
      <c r="A35" s="18" t="s">
        <v>749</v>
      </c>
      <c r="C35" t="s">
        <v>711</v>
      </c>
      <c r="D35" s="79">
        <v>5</v>
      </c>
      <c r="E35" s="238"/>
      <c r="F35" s="77" t="s">
        <v>1309</v>
      </c>
      <c r="G35" s="231"/>
      <c r="H35" s="231"/>
    </row>
    <row r="36" spans="1:9">
      <c r="A36">
        <v>5</v>
      </c>
      <c r="C36">
        <v>5</v>
      </c>
      <c r="D36" s="83" t="s">
        <v>1319</v>
      </c>
      <c r="E36" s="80" t="s">
        <v>1311</v>
      </c>
      <c r="F36" s="75"/>
      <c r="G36"/>
    </row>
    <row r="37" spans="1:9">
      <c r="D37" s="69"/>
      <c r="E37" s="81" t="s">
        <v>1312</v>
      </c>
      <c r="F37" s="76" t="s">
        <v>1315</v>
      </c>
      <c r="G37"/>
    </row>
    <row r="38" spans="1:9">
      <c r="D38" s="69"/>
      <c r="E38" s="69"/>
      <c r="F38" s="76" t="s">
        <v>1316</v>
      </c>
      <c r="G38"/>
    </row>
    <row r="39" spans="1:9">
      <c r="D39" s="69"/>
      <c r="E39" s="69"/>
      <c r="F39" s="77" t="s">
        <v>1317</v>
      </c>
      <c r="G39"/>
    </row>
    <row r="40" spans="1:9">
      <c r="D40" s="69"/>
      <c r="E40" s="69"/>
      <c r="F40" s="87"/>
      <c r="G40"/>
    </row>
    <row r="41" spans="1:9">
      <c r="A41" s="212" t="s">
        <v>1266</v>
      </c>
      <c r="B41" s="212"/>
      <c r="C41" s="212"/>
      <c r="D41" s="82" t="s">
        <v>1298</v>
      </c>
      <c r="E41" s="84" t="s">
        <v>1320</v>
      </c>
      <c r="F41" s="85" t="s">
        <v>1299</v>
      </c>
      <c r="G41" s="84" t="s">
        <v>1321</v>
      </c>
    </row>
    <row r="42" spans="1:9" ht="34" customHeight="1">
      <c r="A42" s="67" t="s">
        <v>1265</v>
      </c>
      <c r="C42" s="20" t="s">
        <v>1268</v>
      </c>
      <c r="D42" s="78">
        <v>3</v>
      </c>
      <c r="E42" s="233" t="s">
        <v>1322</v>
      </c>
      <c r="F42" s="74" t="s">
        <v>1310</v>
      </c>
      <c r="G42" s="229" t="s">
        <v>1328</v>
      </c>
      <c r="H42" s="229" t="s">
        <v>1358</v>
      </c>
      <c r="I42" s="73" t="s">
        <v>1297</v>
      </c>
    </row>
    <row r="43" spans="1:9" ht="33" customHeight="1">
      <c r="A43" s="67">
        <v>1</v>
      </c>
      <c r="C43" s="90" t="s">
        <v>1267</v>
      </c>
      <c r="D43" s="78">
        <v>3</v>
      </c>
      <c r="E43" s="234"/>
      <c r="F43" s="75"/>
      <c r="G43" s="230"/>
      <c r="H43" s="230"/>
      <c r="I43">
        <v>32</v>
      </c>
    </row>
    <row r="44" spans="1:9">
      <c r="C44" t="s">
        <v>1038</v>
      </c>
      <c r="D44" s="78">
        <v>3</v>
      </c>
      <c r="E44" s="234"/>
      <c r="F44" s="75"/>
      <c r="G44" s="230"/>
      <c r="H44" s="230"/>
      <c r="I44" t="s">
        <v>1272</v>
      </c>
    </row>
    <row r="45" spans="1:9">
      <c r="C45" t="s">
        <v>1039</v>
      </c>
      <c r="D45" s="78">
        <v>3</v>
      </c>
      <c r="E45" s="234"/>
      <c r="F45" s="75"/>
      <c r="G45" s="230"/>
      <c r="H45" s="230"/>
      <c r="I45">
        <f>I43*2</f>
        <v>64</v>
      </c>
    </row>
    <row r="46" spans="1:9">
      <c r="C46" t="s">
        <v>1040</v>
      </c>
      <c r="D46" s="78">
        <v>3</v>
      </c>
      <c r="E46" s="235"/>
      <c r="F46" s="75"/>
      <c r="G46" s="231"/>
      <c r="H46" s="231"/>
    </row>
    <row r="47" spans="1:9">
      <c r="C47" t="s">
        <v>1041</v>
      </c>
      <c r="D47" s="78">
        <v>3</v>
      </c>
      <c r="E47" s="101" t="s">
        <v>1324</v>
      </c>
      <c r="F47" s="224" t="s">
        <v>1331</v>
      </c>
      <c r="G47"/>
    </row>
    <row r="48" spans="1:9">
      <c r="C48" s="18" t="s">
        <v>1029</v>
      </c>
      <c r="D48" s="78">
        <v>3</v>
      </c>
      <c r="E48" s="102" t="s">
        <v>1325</v>
      </c>
      <c r="F48" s="225"/>
      <c r="G48"/>
    </row>
    <row r="49" spans="3:7">
      <c r="C49" s="18" t="s">
        <v>1026</v>
      </c>
      <c r="D49" s="78">
        <v>3</v>
      </c>
      <c r="E49" s="69"/>
      <c r="F49" s="76" t="s">
        <v>1326</v>
      </c>
      <c r="G49"/>
    </row>
    <row r="50" spans="3:7">
      <c r="C50" s="18" t="s">
        <v>1028</v>
      </c>
      <c r="D50" s="78">
        <v>3</v>
      </c>
      <c r="E50" s="69"/>
      <c r="F50" s="77" t="s">
        <v>1327</v>
      </c>
      <c r="G50"/>
    </row>
    <row r="51" spans="3:7">
      <c r="C51" s="18" t="s">
        <v>1027</v>
      </c>
      <c r="D51" s="78">
        <v>3</v>
      </c>
      <c r="E51" s="69"/>
      <c r="F51"/>
      <c r="G51"/>
    </row>
    <row r="52" spans="3:7">
      <c r="C52" s="18" t="s">
        <v>1130</v>
      </c>
      <c r="D52" s="78">
        <v>3</v>
      </c>
      <c r="E52" s="69"/>
      <c r="F52"/>
      <c r="G52"/>
    </row>
    <row r="53" spans="3:7">
      <c r="C53" s="18" t="s">
        <v>1133</v>
      </c>
      <c r="D53" s="78">
        <v>3</v>
      </c>
      <c r="E53" s="69"/>
      <c r="F53"/>
      <c r="G53"/>
    </row>
    <row r="54" spans="3:7">
      <c r="C54" s="18" t="s">
        <v>1131</v>
      </c>
      <c r="D54" s="78">
        <v>3</v>
      </c>
      <c r="E54" s="69"/>
      <c r="F54"/>
      <c r="G54"/>
    </row>
    <row r="55" spans="3:7">
      <c r="C55" s="18" t="s">
        <v>1132</v>
      </c>
      <c r="D55" s="78">
        <v>3</v>
      </c>
      <c r="E55" s="69"/>
      <c r="F55"/>
      <c r="G55"/>
    </row>
    <row r="56" spans="3:7">
      <c r="C56" t="s">
        <v>1128</v>
      </c>
      <c r="D56" s="78">
        <v>3</v>
      </c>
      <c r="E56" s="69"/>
      <c r="F56"/>
      <c r="G56"/>
    </row>
    <row r="57" spans="3:7">
      <c r="C57" t="s">
        <v>1129</v>
      </c>
      <c r="D57" s="78">
        <v>3</v>
      </c>
      <c r="E57" s="69"/>
      <c r="F57"/>
      <c r="G57"/>
    </row>
    <row r="58" spans="3:7">
      <c r="D58" s="83" t="s">
        <v>1357</v>
      </c>
      <c r="E58" s="69"/>
      <c r="F58"/>
      <c r="G58"/>
    </row>
    <row r="59" spans="3:7">
      <c r="C59" t="s">
        <v>1042</v>
      </c>
      <c r="D59" s="78">
        <v>3</v>
      </c>
      <c r="E59" s="69"/>
      <c r="F59"/>
      <c r="G59"/>
    </row>
    <row r="60" spans="3:7">
      <c r="C60" t="s">
        <v>1044</v>
      </c>
      <c r="D60" s="78">
        <v>3</v>
      </c>
      <c r="E60" s="69"/>
      <c r="F60"/>
      <c r="G60"/>
    </row>
    <row r="61" spans="3:7">
      <c r="C61" t="s">
        <v>1052</v>
      </c>
      <c r="D61" s="78">
        <v>3</v>
      </c>
      <c r="E61" s="69"/>
      <c r="F61"/>
      <c r="G61"/>
    </row>
    <row r="62" spans="3:7">
      <c r="C62" t="s">
        <v>1053</v>
      </c>
      <c r="D62" s="78">
        <v>3</v>
      </c>
      <c r="E62" s="69"/>
      <c r="F62"/>
      <c r="G62"/>
    </row>
    <row r="63" spans="3:7">
      <c r="C63" t="s">
        <v>1069</v>
      </c>
      <c r="D63" s="78">
        <v>3</v>
      </c>
      <c r="E63" s="69"/>
      <c r="F63"/>
      <c r="G63"/>
    </row>
    <row r="64" spans="3:7">
      <c r="C64" t="s">
        <v>1063</v>
      </c>
      <c r="D64" s="78">
        <v>3</v>
      </c>
      <c r="E64" s="69"/>
      <c r="F64"/>
      <c r="G64"/>
    </row>
    <row r="65" spans="3:7">
      <c r="C65" t="s">
        <v>1064</v>
      </c>
      <c r="D65" s="78">
        <v>3</v>
      </c>
      <c r="E65" s="69"/>
      <c r="F65"/>
      <c r="G65"/>
    </row>
    <row r="66" spans="3:7">
      <c r="C66" t="s">
        <v>1126</v>
      </c>
      <c r="D66" s="78">
        <v>3</v>
      </c>
      <c r="E66" s="69"/>
      <c r="F66"/>
      <c r="G66"/>
    </row>
    <row r="67" spans="3:7">
      <c r="C67" t="s">
        <v>1066</v>
      </c>
      <c r="D67" s="78">
        <v>3</v>
      </c>
      <c r="E67" s="69"/>
      <c r="F67"/>
      <c r="G67"/>
    </row>
    <row r="68" spans="3:7">
      <c r="C68" t="s">
        <v>1111</v>
      </c>
      <c r="D68" s="78">
        <v>3</v>
      </c>
      <c r="E68" s="69"/>
      <c r="F68"/>
      <c r="G68"/>
    </row>
    <row r="69" spans="3:7">
      <c r="C69" t="s">
        <v>1116</v>
      </c>
      <c r="D69" s="78">
        <v>3</v>
      </c>
      <c r="E69" s="69"/>
      <c r="F69"/>
      <c r="G69"/>
    </row>
    <row r="70" spans="3:7">
      <c r="C70" t="s">
        <v>1119</v>
      </c>
      <c r="D70" s="78">
        <v>3</v>
      </c>
      <c r="E70" s="69"/>
      <c r="F70"/>
      <c r="G70"/>
    </row>
    <row r="71" spans="3:7">
      <c r="C71" t="s">
        <v>1134</v>
      </c>
      <c r="D71" s="78">
        <v>3</v>
      </c>
      <c r="E71" s="69"/>
      <c r="F71"/>
      <c r="G71"/>
    </row>
    <row r="72" spans="3:7">
      <c r="C72" t="s">
        <v>1144</v>
      </c>
      <c r="D72" s="78">
        <v>3</v>
      </c>
      <c r="E72" s="69"/>
      <c r="F72"/>
      <c r="G72"/>
    </row>
    <row r="73" spans="3:7">
      <c r="C73" t="s">
        <v>1145</v>
      </c>
      <c r="D73" s="78">
        <v>3</v>
      </c>
      <c r="E73" s="69"/>
      <c r="F73"/>
      <c r="G73"/>
    </row>
    <row r="74" spans="3:7">
      <c r="C74" t="s">
        <v>1146</v>
      </c>
      <c r="D74" s="78">
        <v>3</v>
      </c>
      <c r="E74" s="69"/>
      <c r="F74"/>
      <c r="G74"/>
    </row>
    <row r="75" spans="3:7">
      <c r="C75">
        <v>32</v>
      </c>
      <c r="D75" s="83" t="s">
        <v>1357</v>
      </c>
      <c r="E75" s="69"/>
      <c r="F75"/>
      <c r="G75"/>
    </row>
    <row r="76" spans="3:7">
      <c r="D76" s="69"/>
      <c r="E76" s="69"/>
      <c r="F76"/>
      <c r="G76"/>
    </row>
    <row r="77" spans="3:7">
      <c r="D77" s="69"/>
      <c r="E77" s="69"/>
      <c r="F77"/>
      <c r="G77"/>
    </row>
    <row r="78" spans="3:7">
      <c r="D78" s="69"/>
      <c r="E78" s="69"/>
      <c r="F78"/>
      <c r="G78"/>
    </row>
    <row r="79" spans="3:7">
      <c r="D79" s="69"/>
      <c r="E79" s="69"/>
      <c r="F79"/>
      <c r="G79"/>
    </row>
    <row r="80" spans="3:7">
      <c r="D80" s="69"/>
      <c r="E80" s="69"/>
      <c r="F80"/>
      <c r="G80"/>
    </row>
    <row r="81" spans="4:7">
      <c r="D81" s="69"/>
      <c r="E81" s="69"/>
      <c r="F81"/>
      <c r="G81"/>
    </row>
    <row r="82" spans="4:7">
      <c r="D82" s="69"/>
      <c r="E82" s="69"/>
      <c r="F82"/>
      <c r="G82"/>
    </row>
    <row r="83" spans="4:7">
      <c r="D83" s="69"/>
      <c r="E83" s="69"/>
      <c r="F83"/>
      <c r="G83"/>
    </row>
    <row r="84" spans="4:7">
      <c r="D84" s="69"/>
      <c r="E84" s="69"/>
      <c r="F84"/>
      <c r="G84"/>
    </row>
    <row r="85" spans="4:7">
      <c r="D85" s="69"/>
      <c r="E85" s="69"/>
      <c r="F85"/>
      <c r="G85"/>
    </row>
    <row r="86" spans="4:7">
      <c r="D86" s="69"/>
      <c r="E86" s="69"/>
      <c r="F86"/>
      <c r="G86"/>
    </row>
    <row r="87" spans="4:7">
      <c r="D87" s="69"/>
      <c r="E87" s="69"/>
      <c r="F87"/>
      <c r="G87"/>
    </row>
  </sheetData>
  <mergeCells count="21">
    <mergeCell ref="G42:G46"/>
    <mergeCell ref="G20:G24"/>
    <mergeCell ref="G31:G35"/>
    <mergeCell ref="E31:E35"/>
    <mergeCell ref="E20:E25"/>
    <mergeCell ref="F47:F48"/>
    <mergeCell ref="A2:I2"/>
    <mergeCell ref="A4:C4"/>
    <mergeCell ref="G9:G12"/>
    <mergeCell ref="G5:G6"/>
    <mergeCell ref="G7:G8"/>
    <mergeCell ref="H5:H8"/>
    <mergeCell ref="H9:H12"/>
    <mergeCell ref="H20:H24"/>
    <mergeCell ref="H31:H35"/>
    <mergeCell ref="H42:H46"/>
    <mergeCell ref="A19:C19"/>
    <mergeCell ref="A30:C30"/>
    <mergeCell ref="A41:C41"/>
    <mergeCell ref="A17:I17"/>
    <mergeCell ref="E42:E46"/>
  </mergeCells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0C5F6-C228-B040-91AB-E9C0B3510A56}">
  <sheetPr>
    <pageSetUpPr fitToPage="1"/>
  </sheetPr>
  <dimension ref="A1:M39"/>
  <sheetViews>
    <sheetView topLeftCell="A6" workbookViewId="0">
      <selection activeCell="J26" sqref="J26"/>
    </sheetView>
  </sheetViews>
  <sheetFormatPr baseColWidth="10" defaultRowHeight="16"/>
  <cols>
    <col min="3" max="3" width="12.6640625" style="28" bestFit="1" customWidth="1"/>
    <col min="4" max="4" width="18.6640625" bestFit="1" customWidth="1"/>
    <col min="5" max="5" width="20" bestFit="1" customWidth="1"/>
    <col min="6" max="6" width="25.33203125" bestFit="1" customWidth="1"/>
  </cols>
  <sheetData>
    <row r="1" spans="1:11">
      <c r="D1" s="123" t="s">
        <v>1313</v>
      </c>
      <c r="F1" s="124" t="s">
        <v>1314</v>
      </c>
    </row>
    <row r="2" spans="1:11">
      <c r="A2" s="126" t="s">
        <v>1895</v>
      </c>
      <c r="B2" s="126" t="s">
        <v>1896</v>
      </c>
      <c r="D2" s="82" t="s">
        <v>1298</v>
      </c>
      <c r="E2" s="84" t="s">
        <v>1320</v>
      </c>
      <c r="F2" s="85" t="s">
        <v>1299</v>
      </c>
      <c r="G2" s="84" t="s">
        <v>1321</v>
      </c>
    </row>
    <row r="3" spans="1:11" ht="16" customHeight="1">
      <c r="A3" s="219" t="s">
        <v>1883</v>
      </c>
      <c r="B3" s="214" t="s">
        <v>1337</v>
      </c>
      <c r="C3" s="120" t="s">
        <v>1632</v>
      </c>
      <c r="D3">
        <v>3</v>
      </c>
      <c r="E3" s="236" t="s">
        <v>1322</v>
      </c>
      <c r="F3" s="74" t="s">
        <v>1891</v>
      </c>
      <c r="G3" s="229" t="s">
        <v>1887</v>
      </c>
    </row>
    <row r="4" spans="1:11">
      <c r="A4" s="219"/>
      <c r="B4" s="214"/>
      <c r="C4" s="121" t="s">
        <v>1633</v>
      </c>
      <c r="D4">
        <v>3</v>
      </c>
      <c r="E4" s="237"/>
      <c r="F4" s="75" t="s">
        <v>1892</v>
      </c>
      <c r="G4" s="230"/>
    </row>
    <row r="5" spans="1:11">
      <c r="C5" s="121" t="s">
        <v>1634</v>
      </c>
      <c r="D5">
        <v>3</v>
      </c>
      <c r="E5" s="237"/>
      <c r="F5" s="75"/>
      <c r="G5" s="230"/>
    </row>
    <row r="6" spans="1:11">
      <c r="C6" s="121" t="s">
        <v>1635</v>
      </c>
      <c r="D6">
        <v>3</v>
      </c>
      <c r="E6" s="237"/>
      <c r="F6" s="75"/>
      <c r="G6" s="230"/>
    </row>
    <row r="7" spans="1:11">
      <c r="C7" s="121" t="s">
        <v>1636</v>
      </c>
      <c r="D7">
        <v>3</v>
      </c>
      <c r="E7" s="237"/>
      <c r="F7" s="75"/>
      <c r="G7" s="230"/>
    </row>
    <row r="8" spans="1:11">
      <c r="C8" s="121" t="s">
        <v>1637</v>
      </c>
      <c r="D8">
        <v>3</v>
      </c>
      <c r="E8" s="237"/>
      <c r="F8" s="75"/>
      <c r="G8" s="230"/>
    </row>
    <row r="9" spans="1:11">
      <c r="C9" s="121" t="s">
        <v>1638</v>
      </c>
      <c r="D9">
        <v>3</v>
      </c>
      <c r="E9" s="237"/>
      <c r="F9" s="75"/>
      <c r="G9" s="230"/>
    </row>
    <row r="10" spans="1:11">
      <c r="C10" s="121" t="s">
        <v>1639</v>
      </c>
      <c r="D10">
        <v>3</v>
      </c>
      <c r="E10" s="237"/>
      <c r="F10" s="75"/>
      <c r="G10" s="230"/>
    </row>
    <row r="11" spans="1:11">
      <c r="C11" s="121" t="s">
        <v>1640</v>
      </c>
      <c r="D11">
        <v>3</v>
      </c>
      <c r="E11" s="237"/>
      <c r="F11" s="75"/>
      <c r="G11" s="230"/>
    </row>
    <row r="12" spans="1:11">
      <c r="C12" s="121" t="s">
        <v>1641</v>
      </c>
      <c r="D12">
        <v>3</v>
      </c>
      <c r="E12" s="237"/>
      <c r="F12" s="75"/>
      <c r="G12" s="230"/>
    </row>
    <row r="13" spans="1:11">
      <c r="C13" s="121" t="s">
        <v>1642</v>
      </c>
      <c r="D13">
        <v>3</v>
      </c>
      <c r="E13" s="237"/>
      <c r="F13" s="75"/>
      <c r="G13" s="230"/>
    </row>
    <row r="14" spans="1:11">
      <c r="C14" s="121" t="s">
        <v>1643</v>
      </c>
      <c r="D14">
        <v>3</v>
      </c>
      <c r="E14" s="237"/>
      <c r="F14" s="75"/>
      <c r="G14" s="230"/>
    </row>
    <row r="15" spans="1:11">
      <c r="C15" s="121" t="s">
        <v>1717</v>
      </c>
      <c r="D15">
        <v>3</v>
      </c>
      <c r="E15" s="237"/>
      <c r="F15" s="75"/>
      <c r="G15" s="230"/>
    </row>
    <row r="16" spans="1:11">
      <c r="C16" s="122" t="s">
        <v>1714</v>
      </c>
      <c r="D16">
        <v>3</v>
      </c>
      <c r="E16" s="238"/>
      <c r="F16" s="77"/>
      <c r="G16" s="231"/>
      <c r="K16" t="s">
        <v>1900</v>
      </c>
    </row>
    <row r="17" spans="1:13" ht="17">
      <c r="D17" s="83" t="s">
        <v>1889</v>
      </c>
      <c r="E17" s="80" t="s">
        <v>1324</v>
      </c>
      <c r="F17" s="86" t="s">
        <v>1890</v>
      </c>
      <c r="G17" s="125" t="s">
        <v>1324</v>
      </c>
      <c r="J17" t="s">
        <v>1895</v>
      </c>
      <c r="K17">
        <f>14+3+7</f>
        <v>24</v>
      </c>
      <c r="L17" t="s">
        <v>1272</v>
      </c>
      <c r="M17" t="s">
        <v>1901</v>
      </c>
    </row>
    <row r="18" spans="1:13">
      <c r="D18" s="127"/>
      <c r="E18" s="81" t="s">
        <v>1897</v>
      </c>
      <c r="F18" s="76" t="s">
        <v>1326</v>
      </c>
      <c r="G18" s="239" t="s">
        <v>1899</v>
      </c>
      <c r="J18" t="s">
        <v>1896</v>
      </c>
      <c r="K18">
        <v>24</v>
      </c>
      <c r="L18" t="s">
        <v>1272</v>
      </c>
      <c r="M18" t="s">
        <v>1901</v>
      </c>
    </row>
    <row r="19" spans="1:13">
      <c r="D19" s="127"/>
      <c r="F19" s="77" t="s">
        <v>1327</v>
      </c>
      <c r="G19" s="239"/>
    </row>
    <row r="20" spans="1:13">
      <c r="D20" s="127"/>
      <c r="F20" s="87"/>
      <c r="G20" s="239"/>
      <c r="H20" s="128"/>
    </row>
    <row r="21" spans="1:13">
      <c r="G21" s="240"/>
    </row>
    <row r="22" spans="1:13">
      <c r="G22" s="128"/>
    </row>
    <row r="23" spans="1:13">
      <c r="D23" s="123" t="s">
        <v>1313</v>
      </c>
      <c r="E23" s="116"/>
      <c r="F23" s="124" t="s">
        <v>1314</v>
      </c>
    </row>
    <row r="24" spans="1:13">
      <c r="A24" s="126" t="s">
        <v>1895</v>
      </c>
      <c r="B24" s="126" t="s">
        <v>1896</v>
      </c>
      <c r="C24" s="119"/>
      <c r="D24" s="82" t="s">
        <v>1298</v>
      </c>
      <c r="E24" s="84" t="s">
        <v>1320</v>
      </c>
      <c r="F24" s="85" t="s">
        <v>1299</v>
      </c>
      <c r="G24" s="84" t="s">
        <v>1321</v>
      </c>
    </row>
    <row r="25" spans="1:13" ht="16" customHeight="1">
      <c r="A25" s="221" t="s">
        <v>688</v>
      </c>
      <c r="B25" s="221"/>
      <c r="C25" s="120" t="s">
        <v>1750</v>
      </c>
      <c r="D25" s="74">
        <v>5</v>
      </c>
      <c r="E25" s="236" t="s">
        <v>1322</v>
      </c>
      <c r="F25" s="75" t="s">
        <v>1893</v>
      </c>
      <c r="G25" s="229" t="s">
        <v>1887</v>
      </c>
    </row>
    <row r="26" spans="1:13">
      <c r="A26" s="241" t="s">
        <v>1884</v>
      </c>
      <c r="B26" s="243" t="s">
        <v>1337</v>
      </c>
      <c r="C26" s="121" t="s">
        <v>1747</v>
      </c>
      <c r="D26" s="75">
        <v>5</v>
      </c>
      <c r="E26" s="237"/>
      <c r="F26" s="75" t="s">
        <v>1894</v>
      </c>
      <c r="G26" s="230"/>
    </row>
    <row r="27" spans="1:13">
      <c r="A27" s="242"/>
      <c r="B27" s="244"/>
      <c r="C27" s="122" t="s">
        <v>1745</v>
      </c>
      <c r="D27" s="75">
        <v>5</v>
      </c>
      <c r="E27" s="237"/>
      <c r="F27" s="75"/>
      <c r="G27" s="230"/>
    </row>
    <row r="28" spans="1:13">
      <c r="A28" s="221" t="s">
        <v>1269</v>
      </c>
      <c r="B28" s="221"/>
      <c r="C28" s="120" t="s">
        <v>1741</v>
      </c>
      <c r="D28" s="75">
        <v>5</v>
      </c>
      <c r="E28" s="237"/>
      <c r="F28" s="75"/>
      <c r="G28" s="230"/>
    </row>
    <row r="29" spans="1:13" ht="17" customHeight="1">
      <c r="A29" s="219" t="s">
        <v>1333</v>
      </c>
      <c r="B29" s="223" t="s">
        <v>1337</v>
      </c>
      <c r="C29" s="121" t="s">
        <v>1738</v>
      </c>
      <c r="D29" s="75">
        <v>5</v>
      </c>
      <c r="E29" s="237"/>
      <c r="F29" s="75"/>
      <c r="G29" s="230"/>
    </row>
    <row r="30" spans="1:13">
      <c r="A30" s="219"/>
      <c r="B30" s="223"/>
      <c r="C30" s="121" t="s">
        <v>1736</v>
      </c>
      <c r="D30" s="75">
        <v>5</v>
      </c>
      <c r="E30" s="237"/>
      <c r="F30" s="75"/>
      <c r="G30" s="230"/>
    </row>
    <row r="31" spans="1:13">
      <c r="C31" s="121" t="s">
        <v>1731</v>
      </c>
      <c r="D31" s="75">
        <v>5</v>
      </c>
      <c r="E31" s="237"/>
      <c r="F31" s="75"/>
      <c r="G31" s="230"/>
    </row>
    <row r="32" spans="1:13">
      <c r="C32" s="121" t="s">
        <v>1728</v>
      </c>
      <c r="D32" s="75">
        <v>5</v>
      </c>
      <c r="E32" s="237"/>
      <c r="F32" s="75"/>
      <c r="G32" s="230"/>
    </row>
    <row r="33" spans="3:7">
      <c r="C33" s="121" t="s">
        <v>1725</v>
      </c>
      <c r="D33" s="75">
        <v>5</v>
      </c>
      <c r="E33" s="237"/>
      <c r="F33" s="75"/>
      <c r="G33" s="230"/>
    </row>
    <row r="34" spans="3:7">
      <c r="C34" s="122" t="s">
        <v>1722</v>
      </c>
      <c r="D34" s="77">
        <v>5</v>
      </c>
      <c r="E34" s="238"/>
      <c r="F34" s="77"/>
      <c r="G34" s="231"/>
    </row>
    <row r="35" spans="3:7" ht="16" customHeight="1">
      <c r="D35" s="83" t="s">
        <v>1327</v>
      </c>
      <c r="E35" s="80" t="s">
        <v>1324</v>
      </c>
      <c r="F35" s="86" t="s">
        <v>1315</v>
      </c>
      <c r="G35" s="125" t="s">
        <v>1324</v>
      </c>
    </row>
    <row r="36" spans="3:7" ht="16" customHeight="1">
      <c r="E36" s="81" t="s">
        <v>1898</v>
      </c>
      <c r="F36" s="76" t="s">
        <v>1886</v>
      </c>
      <c r="G36" s="239" t="s">
        <v>1888</v>
      </c>
    </row>
    <row r="37" spans="3:7">
      <c r="F37" s="77" t="s">
        <v>1885</v>
      </c>
      <c r="G37" s="239"/>
    </row>
    <row r="38" spans="3:7">
      <c r="G38" s="239"/>
    </row>
    <row r="39" spans="3:7">
      <c r="G39" s="240"/>
    </row>
  </sheetData>
  <mergeCells count="14">
    <mergeCell ref="A29:A30"/>
    <mergeCell ref="B29:B30"/>
    <mergeCell ref="G25:G34"/>
    <mergeCell ref="A28:B28"/>
    <mergeCell ref="A3:A4"/>
    <mergeCell ref="B3:B4"/>
    <mergeCell ref="A26:A27"/>
    <mergeCell ref="B26:B27"/>
    <mergeCell ref="A25:B25"/>
    <mergeCell ref="G36:G39"/>
    <mergeCell ref="E3:E16"/>
    <mergeCell ref="G18:G21"/>
    <mergeCell ref="G3:G16"/>
    <mergeCell ref="E25:E34"/>
  </mergeCells>
  <phoneticPr fontId="2" type="noConversion"/>
  <pageMargins left="0.7" right="0.7" top="0.75" bottom="0.75" header="0.3" footer="0.3"/>
  <pageSetup paperSize="9" scale="70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2B5F1-4166-3A4A-B2A0-E9F9FA36BDC2}">
  <sheetPr>
    <pageSetUpPr fitToPage="1"/>
  </sheetPr>
  <dimension ref="A1:L42"/>
  <sheetViews>
    <sheetView workbookViewId="0">
      <selection sqref="A1:XFD19"/>
    </sheetView>
  </sheetViews>
  <sheetFormatPr baseColWidth="10" defaultRowHeight="16"/>
  <cols>
    <col min="1" max="2" width="16.5" bestFit="1" customWidth="1"/>
    <col min="3" max="3" width="19.1640625" customWidth="1"/>
    <col min="4" max="4" width="18.6640625" bestFit="1" customWidth="1"/>
    <col min="5" max="5" width="20.5" bestFit="1" customWidth="1"/>
    <col min="6" max="6" width="25.33203125" bestFit="1" customWidth="1"/>
    <col min="7" max="7" width="8.33203125" customWidth="1"/>
    <col min="12" max="12" width="13.6640625" customWidth="1"/>
  </cols>
  <sheetData>
    <row r="1" spans="1:10">
      <c r="A1" s="215" t="s">
        <v>2117</v>
      </c>
      <c r="B1" s="215"/>
      <c r="C1" s="28"/>
      <c r="D1" s="123" t="s">
        <v>1313</v>
      </c>
      <c r="F1" s="124" t="s">
        <v>1314</v>
      </c>
      <c r="G1" s="145"/>
    </row>
    <row r="2" spans="1:10">
      <c r="A2" s="92" t="s">
        <v>1895</v>
      </c>
      <c r="B2" s="126" t="s">
        <v>1896</v>
      </c>
      <c r="C2" t="s">
        <v>2118</v>
      </c>
      <c r="D2" s="82" t="s">
        <v>1298</v>
      </c>
      <c r="E2" s="84" t="s">
        <v>1320</v>
      </c>
      <c r="F2" s="74" t="s">
        <v>1299</v>
      </c>
      <c r="G2" t="s">
        <v>2089</v>
      </c>
      <c r="H2" s="84" t="s">
        <v>1321</v>
      </c>
    </row>
    <row r="3" spans="1:10" ht="16" customHeight="1">
      <c r="A3" s="144" t="s">
        <v>2083</v>
      </c>
      <c r="B3" s="20" t="s">
        <v>2078</v>
      </c>
      <c r="C3" s="120" t="s">
        <v>420</v>
      </c>
      <c r="D3" s="74">
        <v>8</v>
      </c>
      <c r="E3" s="251" t="s">
        <v>1322</v>
      </c>
      <c r="F3" s="146" t="s">
        <v>2080</v>
      </c>
      <c r="G3" s="147" t="s">
        <v>2090</v>
      </c>
      <c r="H3" s="248" t="s">
        <v>1887</v>
      </c>
      <c r="I3" s="236" t="s">
        <v>2104</v>
      </c>
      <c r="J3" s="245" t="s">
        <v>2105</v>
      </c>
    </row>
    <row r="4" spans="1:10">
      <c r="A4" t="s">
        <v>2085</v>
      </c>
      <c r="B4" s="144" t="s">
        <v>2088</v>
      </c>
      <c r="C4" s="121" t="s">
        <v>2072</v>
      </c>
      <c r="D4" s="75">
        <v>8</v>
      </c>
      <c r="E4" s="245"/>
      <c r="F4" s="148" t="s">
        <v>2081</v>
      </c>
      <c r="G4" s="149" t="s">
        <v>2091</v>
      </c>
      <c r="H4" s="249"/>
      <c r="I4" s="237"/>
      <c r="J4" s="245"/>
    </row>
    <row r="5" spans="1:10">
      <c r="A5" t="s">
        <v>2087</v>
      </c>
      <c r="B5" t="s">
        <v>2079</v>
      </c>
      <c r="C5" s="121" t="s">
        <v>2073</v>
      </c>
      <c r="D5" s="75">
        <v>8</v>
      </c>
      <c r="E5" s="245"/>
      <c r="F5" s="148" t="s">
        <v>2082</v>
      </c>
      <c r="G5" s="149" t="s">
        <v>2092</v>
      </c>
      <c r="H5" s="249"/>
      <c r="I5" s="237"/>
      <c r="J5" s="245"/>
    </row>
    <row r="6" spans="1:10">
      <c r="A6" t="s">
        <v>2080</v>
      </c>
      <c r="B6" t="s">
        <v>2084</v>
      </c>
      <c r="C6" s="121" t="s">
        <v>2074</v>
      </c>
      <c r="D6" s="75">
        <v>8</v>
      </c>
      <c r="E6" s="245"/>
      <c r="F6" s="94" t="s">
        <v>2083</v>
      </c>
      <c r="G6" s="149" t="s">
        <v>2093</v>
      </c>
      <c r="H6" s="249"/>
      <c r="I6" s="237"/>
      <c r="J6" s="245"/>
    </row>
    <row r="7" spans="1:10">
      <c r="A7" t="s">
        <v>2081</v>
      </c>
      <c r="B7" t="s">
        <v>2086</v>
      </c>
      <c r="C7" s="121" t="s">
        <v>2075</v>
      </c>
      <c r="D7" s="75">
        <v>8</v>
      </c>
      <c r="E7" s="245"/>
      <c r="F7" s="148" t="s">
        <v>2085</v>
      </c>
      <c r="G7" s="149" t="s">
        <v>2094</v>
      </c>
      <c r="H7" s="249"/>
      <c r="I7" s="237"/>
      <c r="J7" s="245"/>
    </row>
    <row r="8" spans="1:10" ht="17">
      <c r="A8" t="s">
        <v>2082</v>
      </c>
      <c r="B8" s="20" t="s">
        <v>2077</v>
      </c>
      <c r="C8" s="75" t="s">
        <v>2076</v>
      </c>
      <c r="D8" s="77">
        <v>8</v>
      </c>
      <c r="E8" s="245"/>
      <c r="F8" s="148" t="s">
        <v>2087</v>
      </c>
      <c r="G8" s="149" t="s">
        <v>2095</v>
      </c>
      <c r="H8" s="249"/>
      <c r="I8" s="237"/>
      <c r="J8" s="245"/>
    </row>
    <row r="9" spans="1:10">
      <c r="A9" t="s">
        <v>618</v>
      </c>
      <c r="C9" s="121"/>
      <c r="D9" s="83" t="s">
        <v>1357</v>
      </c>
      <c r="E9" s="96" t="s">
        <v>2103</v>
      </c>
      <c r="F9" s="148" t="s">
        <v>618</v>
      </c>
      <c r="G9" s="149" t="s">
        <v>2096</v>
      </c>
      <c r="H9" s="249"/>
      <c r="I9" s="238"/>
      <c r="J9" s="245"/>
    </row>
    <row r="10" spans="1:10">
      <c r="C10" s="28"/>
      <c r="D10" s="127"/>
      <c r="E10" s="81" t="s">
        <v>1898</v>
      </c>
      <c r="F10" s="148"/>
      <c r="G10" s="149"/>
      <c r="H10" s="249"/>
    </row>
    <row r="11" spans="1:10" ht="17">
      <c r="C11" s="28"/>
      <c r="D11" s="127"/>
      <c r="F11" s="150" t="s">
        <v>2077</v>
      </c>
      <c r="G11" s="149" t="s">
        <v>2097</v>
      </c>
      <c r="H11" s="249"/>
      <c r="I11" s="236" t="s">
        <v>2106</v>
      </c>
      <c r="J11" s="245" t="s">
        <v>2114</v>
      </c>
    </row>
    <row r="12" spans="1:10" ht="17">
      <c r="C12" s="28"/>
      <c r="D12" s="127"/>
      <c r="F12" s="150" t="s">
        <v>2078</v>
      </c>
      <c r="G12" s="149" t="s">
        <v>2098</v>
      </c>
      <c r="H12" s="249"/>
      <c r="I12" s="237"/>
      <c r="J12" s="245"/>
    </row>
    <row r="13" spans="1:10">
      <c r="C13" s="28"/>
      <c r="F13" s="94" t="s">
        <v>2088</v>
      </c>
      <c r="G13" s="149" t="s">
        <v>2099</v>
      </c>
      <c r="H13" s="249"/>
      <c r="I13" s="237"/>
      <c r="J13" s="245"/>
    </row>
    <row r="14" spans="1:10">
      <c r="C14" s="28"/>
      <c r="F14" s="148" t="s">
        <v>2079</v>
      </c>
      <c r="G14" s="149" t="s">
        <v>2100</v>
      </c>
      <c r="H14" s="249"/>
      <c r="I14" s="237"/>
      <c r="J14" s="245"/>
    </row>
    <row r="15" spans="1:10">
      <c r="C15" s="28"/>
      <c r="F15" s="148" t="s">
        <v>2084</v>
      </c>
      <c r="G15" s="149" t="s">
        <v>2101</v>
      </c>
      <c r="H15" s="249"/>
      <c r="I15" s="237"/>
      <c r="J15" s="245"/>
    </row>
    <row r="16" spans="1:10">
      <c r="C16" s="28"/>
      <c r="F16" s="151" t="s">
        <v>2086</v>
      </c>
      <c r="G16" s="99" t="s">
        <v>2102</v>
      </c>
      <c r="H16" s="250"/>
      <c r="I16" s="238"/>
      <c r="J16" s="245"/>
    </row>
    <row r="17" spans="1:12">
      <c r="C17" s="28"/>
      <c r="F17" s="76" t="s">
        <v>1315</v>
      </c>
    </row>
    <row r="18" spans="1:12">
      <c r="C18" s="28"/>
      <c r="F18" s="76" t="s">
        <v>1886</v>
      </c>
    </row>
    <row r="19" spans="1:12">
      <c r="C19" s="28"/>
      <c r="F19" s="77" t="s">
        <v>1885</v>
      </c>
    </row>
    <row r="20" spans="1:12">
      <c r="C20" s="28"/>
      <c r="F20" s="87"/>
    </row>
    <row r="21" spans="1:12">
      <c r="C21" s="28"/>
    </row>
    <row r="22" spans="1:12">
      <c r="C22" s="28"/>
      <c r="H22" s="128"/>
    </row>
    <row r="23" spans="1:12">
      <c r="A23" s="215" t="s">
        <v>2117</v>
      </c>
      <c r="B23" s="215"/>
      <c r="C23" s="28"/>
      <c r="D23" s="123" t="s">
        <v>1313</v>
      </c>
      <c r="E23" s="144"/>
      <c r="F23" s="124" t="s">
        <v>1314</v>
      </c>
      <c r="G23" s="145"/>
    </row>
    <row r="24" spans="1:12">
      <c r="A24" s="126" t="s">
        <v>1895</v>
      </c>
      <c r="B24" s="126" t="s">
        <v>1896</v>
      </c>
      <c r="C24" t="s">
        <v>2118</v>
      </c>
      <c r="D24" s="78" t="s">
        <v>1298</v>
      </c>
      <c r="E24" s="84" t="s">
        <v>1320</v>
      </c>
      <c r="F24" s="74" t="s">
        <v>1299</v>
      </c>
      <c r="G24" s="74"/>
      <c r="H24" s="84" t="s">
        <v>1321</v>
      </c>
      <c r="K24" t="s">
        <v>2112</v>
      </c>
      <c r="L24" s="152" t="s">
        <v>2116</v>
      </c>
    </row>
    <row r="25" spans="1:12" ht="16" customHeight="1">
      <c r="A25" t="s">
        <v>2070</v>
      </c>
      <c r="B25" t="s">
        <v>2068</v>
      </c>
      <c r="C25" t="s">
        <v>1955</v>
      </c>
      <c r="D25" s="74">
        <v>4</v>
      </c>
      <c r="E25" s="246" t="s">
        <v>1322</v>
      </c>
      <c r="F25" s="146" t="s">
        <v>2070</v>
      </c>
      <c r="G25" s="147" t="s">
        <v>2107</v>
      </c>
      <c r="H25" s="229" t="s">
        <v>1887</v>
      </c>
      <c r="I25" s="233" t="s">
        <v>2104</v>
      </c>
      <c r="J25" s="245" t="s">
        <v>2113</v>
      </c>
      <c r="K25">
        <f>58+42</f>
        <v>100</v>
      </c>
      <c r="L25" t="s">
        <v>2115</v>
      </c>
    </row>
    <row r="26" spans="1:12">
      <c r="A26" t="s">
        <v>2071</v>
      </c>
      <c r="B26" t="s">
        <v>2069</v>
      </c>
      <c r="C26" t="s">
        <v>1956</v>
      </c>
      <c r="D26" s="75">
        <v>4</v>
      </c>
      <c r="E26" s="247"/>
      <c r="F26" s="148" t="s">
        <v>2071</v>
      </c>
      <c r="G26" s="149" t="s">
        <v>2108</v>
      </c>
      <c r="H26" s="230"/>
      <c r="I26" s="235"/>
      <c r="J26" s="245"/>
    </row>
    <row r="27" spans="1:12">
      <c r="C27" t="s">
        <v>1957</v>
      </c>
      <c r="D27" s="75">
        <v>4</v>
      </c>
      <c r="E27" s="247"/>
      <c r="F27" s="148"/>
      <c r="G27" s="149"/>
      <c r="H27" s="230"/>
    </row>
    <row r="28" spans="1:12">
      <c r="C28" t="s">
        <v>1958</v>
      </c>
      <c r="D28" s="75">
        <v>4</v>
      </c>
      <c r="E28" s="247"/>
      <c r="F28" s="148" t="s">
        <v>2068</v>
      </c>
      <c r="G28" s="149" t="s">
        <v>2109</v>
      </c>
      <c r="H28" s="230"/>
      <c r="I28" s="233" t="s">
        <v>2106</v>
      </c>
      <c r="J28" s="245" t="s">
        <v>2111</v>
      </c>
      <c r="K28">
        <f>60+40</f>
        <v>100</v>
      </c>
      <c r="L28" t="s">
        <v>2115</v>
      </c>
    </row>
    <row r="29" spans="1:12">
      <c r="C29" t="s">
        <v>1963</v>
      </c>
      <c r="D29" s="75">
        <v>4</v>
      </c>
      <c r="E29" s="247"/>
      <c r="F29" s="148" t="s">
        <v>2069</v>
      </c>
      <c r="G29" s="149" t="s">
        <v>2110</v>
      </c>
      <c r="H29" s="230"/>
      <c r="I29" s="235"/>
      <c r="J29" s="245"/>
    </row>
    <row r="30" spans="1:12">
      <c r="C30" t="s">
        <v>1977</v>
      </c>
      <c r="D30" s="75">
        <v>4</v>
      </c>
      <c r="E30" s="247"/>
      <c r="F30" s="148"/>
      <c r="G30" s="149"/>
      <c r="H30" s="230"/>
    </row>
    <row r="31" spans="1:12">
      <c r="C31" t="s">
        <v>1978</v>
      </c>
      <c r="D31" s="75">
        <v>4</v>
      </c>
      <c r="E31" s="247"/>
      <c r="F31" s="148"/>
      <c r="G31" s="149"/>
      <c r="H31" s="230"/>
    </row>
    <row r="32" spans="1:12">
      <c r="C32" t="s">
        <v>1981</v>
      </c>
      <c r="D32" s="75">
        <v>4</v>
      </c>
      <c r="E32" s="247"/>
      <c r="F32" s="148"/>
      <c r="G32" s="149"/>
      <c r="H32" s="230"/>
    </row>
    <row r="33" spans="3:8">
      <c r="C33" t="s">
        <v>1986</v>
      </c>
      <c r="D33" s="75">
        <v>4</v>
      </c>
      <c r="E33" s="247"/>
      <c r="F33" s="148"/>
      <c r="G33" s="149"/>
      <c r="H33" s="230"/>
    </row>
    <row r="34" spans="3:8">
      <c r="C34" t="s">
        <v>1987</v>
      </c>
      <c r="D34" s="75">
        <v>4</v>
      </c>
      <c r="E34" s="247"/>
      <c r="F34" s="148"/>
      <c r="G34" s="149"/>
      <c r="H34" s="230"/>
    </row>
    <row r="35" spans="3:8">
      <c r="C35" t="s">
        <v>2015</v>
      </c>
      <c r="D35" s="75">
        <v>4</v>
      </c>
      <c r="E35" s="247"/>
      <c r="F35" s="148"/>
      <c r="G35" s="149"/>
      <c r="H35" s="230"/>
    </row>
    <row r="36" spans="3:8">
      <c r="C36" t="s">
        <v>2020</v>
      </c>
      <c r="D36" s="75">
        <v>4</v>
      </c>
      <c r="E36" s="247"/>
      <c r="F36" s="148"/>
      <c r="G36" s="149"/>
      <c r="H36" s="230"/>
    </row>
    <row r="37" spans="3:8">
      <c r="C37" t="s">
        <v>2023</v>
      </c>
      <c r="D37" s="75">
        <v>4</v>
      </c>
      <c r="E37" s="247"/>
      <c r="F37" s="148"/>
      <c r="G37" s="149"/>
      <c r="H37" s="230"/>
    </row>
    <row r="38" spans="3:8">
      <c r="C38" t="s">
        <v>2026</v>
      </c>
      <c r="D38" s="75">
        <v>4</v>
      </c>
      <c r="E38" s="247"/>
      <c r="F38" s="148"/>
      <c r="G38" s="149"/>
      <c r="H38" s="230"/>
    </row>
    <row r="39" spans="3:8">
      <c r="C39" t="s">
        <v>2035</v>
      </c>
      <c r="D39" s="77">
        <v>4</v>
      </c>
      <c r="E39" s="247"/>
      <c r="F39" s="151"/>
      <c r="G39" s="99"/>
      <c r="H39" s="231"/>
    </row>
    <row r="40" spans="3:8">
      <c r="D40" s="81" t="s">
        <v>2120</v>
      </c>
      <c r="E40" s="80" t="s">
        <v>2119</v>
      </c>
      <c r="F40" s="86" t="s">
        <v>1890</v>
      </c>
    </row>
    <row r="41" spans="3:8" ht="16" customHeight="1">
      <c r="E41" s="97" t="s">
        <v>1897</v>
      </c>
      <c r="F41" s="76" t="s">
        <v>1326</v>
      </c>
    </row>
    <row r="42" spans="3:8">
      <c r="F42" s="77" t="s">
        <v>1327</v>
      </c>
    </row>
  </sheetData>
  <mergeCells count="14">
    <mergeCell ref="A1:B1"/>
    <mergeCell ref="A23:B23"/>
    <mergeCell ref="J11:J16"/>
    <mergeCell ref="I25:I26"/>
    <mergeCell ref="J25:J26"/>
    <mergeCell ref="I28:I29"/>
    <mergeCell ref="H25:H39"/>
    <mergeCell ref="J28:J29"/>
    <mergeCell ref="E25:E39"/>
    <mergeCell ref="H3:H16"/>
    <mergeCell ref="I3:I9"/>
    <mergeCell ref="J3:J9"/>
    <mergeCell ref="I11:I16"/>
    <mergeCell ref="E3:E8"/>
  </mergeCells>
  <phoneticPr fontId="2" type="noConversion"/>
  <pageMargins left="0.7" right="0.7" top="0.75" bottom="0.75" header="0.3" footer="0.3"/>
  <pageSetup paperSize="9" scale="67" orientation="landscape" horizontalDpi="0" verticalDpi="0" copies="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79519-6C32-1B4D-BA08-91B7674956ED}">
  <sheetPr>
    <pageSetUpPr fitToPage="1"/>
  </sheetPr>
  <dimension ref="A1:K146"/>
  <sheetViews>
    <sheetView tabSelected="1" topLeftCell="A56" zoomScale="91" zoomScaleNormal="39" workbookViewId="0">
      <selection activeCell="G67" sqref="G67:H70"/>
    </sheetView>
  </sheetViews>
  <sheetFormatPr baseColWidth="10" defaultRowHeight="16"/>
  <cols>
    <col min="1" max="1" width="3.33203125" customWidth="1"/>
    <col min="2" max="2" width="31" style="154" customWidth="1"/>
    <col min="3" max="3" width="8.1640625" customWidth="1"/>
    <col min="4" max="4" width="8" customWidth="1"/>
    <col min="5" max="5" width="13" style="20" customWidth="1"/>
    <col min="6" max="6" width="17.33203125" customWidth="1"/>
    <col min="7" max="7" width="11.33203125" style="20" customWidth="1"/>
    <col min="8" max="8" width="15.33203125" customWidth="1"/>
    <col min="9" max="9" width="9.6640625" style="20" customWidth="1"/>
    <col min="10" max="10" width="5" customWidth="1"/>
    <col min="11" max="11" width="6" customWidth="1"/>
  </cols>
  <sheetData>
    <row r="1" spans="1:11" s="153" customFormat="1" ht="49" customHeight="1">
      <c r="B1" s="163" t="s">
        <v>2118</v>
      </c>
      <c r="C1" s="163" t="s">
        <v>2230</v>
      </c>
      <c r="D1" s="163" t="s">
        <v>2169</v>
      </c>
      <c r="E1" s="163" t="s">
        <v>2191</v>
      </c>
      <c r="F1" s="163" t="s">
        <v>2187</v>
      </c>
      <c r="G1" s="163" t="s">
        <v>2182</v>
      </c>
      <c r="H1" s="163" t="s">
        <v>1299</v>
      </c>
      <c r="I1" s="163" t="s">
        <v>2192</v>
      </c>
      <c r="J1" s="163" t="s">
        <v>2229</v>
      </c>
    </row>
    <row r="2" spans="1:11" ht="18">
      <c r="A2">
        <v>1</v>
      </c>
      <c r="B2" s="186" t="s">
        <v>2184</v>
      </c>
      <c r="C2" s="167"/>
      <c r="D2" s="171" t="s">
        <v>1953</v>
      </c>
      <c r="E2" s="254" t="s">
        <v>2200</v>
      </c>
      <c r="F2" s="172">
        <v>4</v>
      </c>
      <c r="G2" s="253" t="s">
        <v>2188</v>
      </c>
      <c r="H2" s="164" t="s">
        <v>2246</v>
      </c>
      <c r="I2" s="253" t="s">
        <v>2202</v>
      </c>
      <c r="J2" s="236">
        <v>18</v>
      </c>
      <c r="K2" s="236" t="s">
        <v>2104</v>
      </c>
    </row>
    <row r="3" spans="1:11" ht="18">
      <c r="A3">
        <v>2</v>
      </c>
      <c r="B3" s="186" t="s">
        <v>2125</v>
      </c>
      <c r="C3" s="167"/>
      <c r="D3" s="171" t="s">
        <v>1953</v>
      </c>
      <c r="E3" s="254"/>
      <c r="F3" s="173">
        <v>4</v>
      </c>
      <c r="G3" s="253"/>
      <c r="H3" s="176" t="s">
        <v>2186</v>
      </c>
      <c r="I3" s="253"/>
      <c r="J3" s="237"/>
      <c r="K3" s="237"/>
    </row>
    <row r="4" spans="1:11" ht="18">
      <c r="A4">
        <v>3</v>
      </c>
      <c r="B4" s="186" t="s">
        <v>2126</v>
      </c>
      <c r="C4" s="167"/>
      <c r="D4" s="174" t="s">
        <v>1953</v>
      </c>
      <c r="E4" s="254"/>
      <c r="F4" s="173">
        <v>4</v>
      </c>
      <c r="G4" s="253"/>
      <c r="H4" s="175" t="s">
        <v>1886</v>
      </c>
      <c r="I4" s="253"/>
      <c r="J4" s="237"/>
      <c r="K4" s="237"/>
    </row>
    <row r="5" spans="1:11" ht="18">
      <c r="A5">
        <v>4</v>
      </c>
      <c r="B5" s="82" t="s">
        <v>724</v>
      </c>
      <c r="C5" s="167">
        <v>0.11</v>
      </c>
      <c r="D5" s="174" t="s">
        <v>1953</v>
      </c>
      <c r="E5" s="253" t="s">
        <v>2201</v>
      </c>
      <c r="F5" s="172" t="s">
        <v>2199</v>
      </c>
      <c r="G5" s="253"/>
      <c r="H5" s="176" t="s">
        <v>1885</v>
      </c>
      <c r="I5" s="253"/>
      <c r="J5" s="237"/>
      <c r="K5" s="237"/>
    </row>
    <row r="6" spans="1:11" ht="18">
      <c r="A6">
        <v>5</v>
      </c>
      <c r="B6" s="82" t="s">
        <v>718</v>
      </c>
      <c r="C6" s="167">
        <v>13.7</v>
      </c>
      <c r="D6" s="174" t="s">
        <v>1953</v>
      </c>
      <c r="E6" s="253"/>
      <c r="F6" s="173">
        <v>4</v>
      </c>
      <c r="G6" s="253"/>
      <c r="H6" s="183" t="s">
        <v>2195</v>
      </c>
      <c r="I6" s="253"/>
      <c r="J6" s="237"/>
      <c r="K6" s="237"/>
    </row>
    <row r="7" spans="1:11" ht="18">
      <c r="A7">
        <v>6</v>
      </c>
      <c r="B7" s="82" t="s">
        <v>711</v>
      </c>
      <c r="C7" s="167">
        <v>15.8</v>
      </c>
      <c r="D7" s="174" t="s">
        <v>1953</v>
      </c>
      <c r="E7" s="253"/>
      <c r="F7" s="172">
        <v>4</v>
      </c>
      <c r="G7" s="253"/>
      <c r="I7" s="253"/>
      <c r="J7" s="237"/>
      <c r="K7" s="237"/>
    </row>
    <row r="8" spans="1:11" ht="18">
      <c r="B8" s="82"/>
      <c r="C8" s="167"/>
      <c r="D8" s="174"/>
      <c r="E8" s="183" t="s">
        <v>2196</v>
      </c>
      <c r="F8" s="85" t="s">
        <v>1327</v>
      </c>
      <c r="I8" s="253"/>
      <c r="J8" s="237"/>
      <c r="K8" s="237"/>
    </row>
    <row r="9" spans="1:11" ht="18">
      <c r="B9" s="187"/>
      <c r="C9" s="155"/>
      <c r="D9" s="159"/>
      <c r="E9" s="160"/>
      <c r="I9" s="253"/>
      <c r="J9" s="237"/>
      <c r="K9" s="237"/>
    </row>
    <row r="10" spans="1:11" ht="18">
      <c r="A10">
        <v>7</v>
      </c>
      <c r="B10" s="186" t="s">
        <v>2184</v>
      </c>
      <c r="C10" s="167"/>
      <c r="D10" s="171" t="s">
        <v>1953</v>
      </c>
      <c r="E10" s="254" t="s">
        <v>2171</v>
      </c>
      <c r="F10" s="172">
        <v>4</v>
      </c>
      <c r="G10" s="253" t="s">
        <v>2188</v>
      </c>
      <c r="H10" s="205" t="s">
        <v>2247</v>
      </c>
      <c r="I10" s="253"/>
      <c r="J10" s="237"/>
      <c r="K10" s="237"/>
    </row>
    <row r="11" spans="1:11" ht="18">
      <c r="A11">
        <v>8</v>
      </c>
      <c r="B11" s="186" t="s">
        <v>2125</v>
      </c>
      <c r="C11" s="167"/>
      <c r="D11" s="171" t="s">
        <v>1953</v>
      </c>
      <c r="E11" s="254"/>
      <c r="F11" s="173">
        <v>4</v>
      </c>
      <c r="G11" s="253"/>
      <c r="H11" s="176" t="s">
        <v>2186</v>
      </c>
      <c r="I11" s="253"/>
      <c r="J11" s="237"/>
      <c r="K11" s="237"/>
    </row>
    <row r="12" spans="1:11" ht="18">
      <c r="A12">
        <v>9</v>
      </c>
      <c r="B12" s="186" t="s">
        <v>2126</v>
      </c>
      <c r="C12" s="167"/>
      <c r="D12" s="174" t="s">
        <v>1953</v>
      </c>
      <c r="E12" s="254"/>
      <c r="F12" s="173">
        <v>4</v>
      </c>
      <c r="G12" s="253"/>
      <c r="H12" s="175" t="s">
        <v>1886</v>
      </c>
      <c r="I12" s="253"/>
      <c r="J12" s="237"/>
      <c r="K12" s="237"/>
    </row>
    <row r="13" spans="1:11" ht="18">
      <c r="A13">
        <v>10</v>
      </c>
      <c r="B13" s="82" t="s">
        <v>724</v>
      </c>
      <c r="C13" s="167">
        <v>0.11</v>
      </c>
      <c r="D13" s="174" t="s">
        <v>1953</v>
      </c>
      <c r="E13" s="253" t="s">
        <v>2170</v>
      </c>
      <c r="F13" s="172" t="s">
        <v>2199</v>
      </c>
      <c r="G13" s="253"/>
      <c r="H13" s="176" t="s">
        <v>1885</v>
      </c>
      <c r="I13" s="253"/>
      <c r="J13" s="237"/>
      <c r="K13" s="237"/>
    </row>
    <row r="14" spans="1:11" ht="18">
      <c r="A14">
        <v>11</v>
      </c>
      <c r="B14" s="82" t="s">
        <v>718</v>
      </c>
      <c r="C14" s="167">
        <v>13.7</v>
      </c>
      <c r="D14" s="174" t="s">
        <v>1953</v>
      </c>
      <c r="E14" s="253"/>
      <c r="F14" s="173">
        <v>4</v>
      </c>
      <c r="G14" s="253"/>
      <c r="H14" s="183" t="s">
        <v>2195</v>
      </c>
      <c r="I14" s="253"/>
      <c r="J14" s="237"/>
      <c r="K14" s="237"/>
    </row>
    <row r="15" spans="1:11" ht="18">
      <c r="A15">
        <v>12</v>
      </c>
      <c r="B15" s="82" t="s">
        <v>711</v>
      </c>
      <c r="C15" s="167">
        <v>15.8</v>
      </c>
      <c r="D15" s="174" t="s">
        <v>1953</v>
      </c>
      <c r="E15" s="253"/>
      <c r="F15" s="172">
        <v>4</v>
      </c>
      <c r="G15" s="253"/>
      <c r="I15" s="253"/>
      <c r="J15" s="237"/>
      <c r="K15" s="237"/>
    </row>
    <row r="16" spans="1:11" ht="18">
      <c r="B16" s="82"/>
      <c r="C16" s="167"/>
      <c r="D16" s="174"/>
      <c r="E16" s="183" t="s">
        <v>2196</v>
      </c>
      <c r="F16" s="85" t="s">
        <v>1327</v>
      </c>
      <c r="I16" s="253"/>
      <c r="J16" s="238"/>
      <c r="K16" s="238"/>
    </row>
    <row r="17" spans="1:11" ht="18">
      <c r="B17" s="188"/>
      <c r="C17" s="156"/>
      <c r="D17" s="156"/>
      <c r="E17" s="158"/>
    </row>
    <row r="18" spans="1:11" ht="18">
      <c r="B18" s="188"/>
      <c r="C18" s="156"/>
      <c r="D18" s="156"/>
      <c r="E18" s="157"/>
    </row>
    <row r="19" spans="1:11" ht="18">
      <c r="A19">
        <v>1</v>
      </c>
      <c r="B19" s="166" t="s">
        <v>2140</v>
      </c>
      <c r="C19" s="162">
        <v>19.8</v>
      </c>
      <c r="D19" s="162" t="s">
        <v>2122</v>
      </c>
      <c r="E19" s="252" t="s">
        <v>2168</v>
      </c>
      <c r="F19" s="85">
        <v>3</v>
      </c>
      <c r="G19" s="253" t="s">
        <v>2193</v>
      </c>
      <c r="H19" s="205" t="s">
        <v>2249</v>
      </c>
      <c r="I19" s="253" t="s">
        <v>2197</v>
      </c>
      <c r="J19" s="236">
        <v>18</v>
      </c>
      <c r="K19" s="257" t="s">
        <v>2104</v>
      </c>
    </row>
    <row r="20" spans="1:11" ht="18">
      <c r="A20">
        <v>2</v>
      </c>
      <c r="B20" s="166" t="s">
        <v>1757</v>
      </c>
      <c r="C20" s="162">
        <v>23.5</v>
      </c>
      <c r="D20" s="162" t="s">
        <v>2122</v>
      </c>
      <c r="E20" s="252"/>
      <c r="F20" s="85">
        <v>3</v>
      </c>
      <c r="G20" s="253"/>
      <c r="H20" s="176" t="s">
        <v>2183</v>
      </c>
      <c r="I20" s="253"/>
      <c r="J20" s="237"/>
      <c r="K20" s="257"/>
    </row>
    <row r="21" spans="1:11" ht="18">
      <c r="A21">
        <v>3</v>
      </c>
      <c r="B21" s="166" t="s">
        <v>2141</v>
      </c>
      <c r="C21" s="162">
        <v>17.3</v>
      </c>
      <c r="D21" s="162" t="s">
        <v>2122</v>
      </c>
      <c r="E21" s="252"/>
      <c r="F21" s="85">
        <v>3</v>
      </c>
      <c r="G21" s="253"/>
      <c r="H21" s="175" t="s">
        <v>1326</v>
      </c>
      <c r="I21" s="253"/>
      <c r="J21" s="237"/>
      <c r="K21" s="257"/>
    </row>
    <row r="22" spans="1:11" ht="18">
      <c r="A22">
        <v>4</v>
      </c>
      <c r="B22" s="166" t="s">
        <v>2142</v>
      </c>
      <c r="C22" s="162">
        <v>18.600000000000001</v>
      </c>
      <c r="D22" s="162" t="s">
        <v>2122</v>
      </c>
      <c r="E22" s="252"/>
      <c r="F22" s="85">
        <v>3</v>
      </c>
      <c r="G22" s="253"/>
      <c r="H22" s="176" t="s">
        <v>1327</v>
      </c>
      <c r="I22" s="253"/>
      <c r="J22" s="237"/>
      <c r="K22" s="257"/>
    </row>
    <row r="23" spans="1:11" ht="18">
      <c r="A23">
        <v>5</v>
      </c>
      <c r="B23" s="166" t="s">
        <v>2143</v>
      </c>
      <c r="C23" s="162">
        <v>22</v>
      </c>
      <c r="D23" s="162" t="s">
        <v>2122</v>
      </c>
      <c r="E23" s="252"/>
      <c r="F23" s="85">
        <v>3</v>
      </c>
      <c r="G23" s="253"/>
      <c r="H23" s="183" t="s">
        <v>2195</v>
      </c>
      <c r="I23" s="253"/>
      <c r="J23" s="237"/>
      <c r="K23" s="257"/>
    </row>
    <row r="24" spans="1:11" ht="18">
      <c r="A24">
        <v>6</v>
      </c>
      <c r="B24" s="166" t="s">
        <v>2144</v>
      </c>
      <c r="C24" s="162">
        <v>24.2</v>
      </c>
      <c r="D24" s="162" t="s">
        <v>2122</v>
      </c>
      <c r="E24" s="252"/>
      <c r="F24" s="85">
        <v>3</v>
      </c>
      <c r="G24" s="253"/>
      <c r="I24" s="253"/>
      <c r="J24" s="237"/>
      <c r="K24" s="257"/>
    </row>
    <row r="25" spans="1:11" ht="18">
      <c r="A25">
        <v>7</v>
      </c>
      <c r="B25" s="166" t="s">
        <v>2145</v>
      </c>
      <c r="C25" s="162">
        <v>27.9</v>
      </c>
      <c r="D25" s="162" t="s">
        <v>2122</v>
      </c>
      <c r="E25" s="252"/>
      <c r="F25" s="85">
        <v>2.5</v>
      </c>
      <c r="G25" s="253"/>
      <c r="I25" s="253"/>
      <c r="J25" s="237"/>
      <c r="K25" s="257"/>
    </row>
    <row r="26" spans="1:11" ht="18">
      <c r="A26">
        <v>8</v>
      </c>
      <c r="B26" s="166" t="s">
        <v>2146</v>
      </c>
      <c r="C26" s="162">
        <v>9.9</v>
      </c>
      <c r="D26" s="162" t="s">
        <v>2122</v>
      </c>
      <c r="E26" s="252"/>
      <c r="F26" s="85">
        <v>5</v>
      </c>
      <c r="G26" s="253"/>
      <c r="I26" s="253"/>
      <c r="J26" s="237"/>
      <c r="K26" s="257"/>
    </row>
    <row r="27" spans="1:11" ht="18">
      <c r="A27">
        <v>9</v>
      </c>
      <c r="B27" s="166" t="s">
        <v>2147</v>
      </c>
      <c r="C27" s="162">
        <v>25.4</v>
      </c>
      <c r="D27" s="162" t="s">
        <v>2122</v>
      </c>
      <c r="E27" s="252"/>
      <c r="F27" s="85">
        <v>3</v>
      </c>
      <c r="G27" s="253"/>
      <c r="I27" s="253"/>
      <c r="J27" s="237"/>
      <c r="K27" s="257"/>
    </row>
    <row r="28" spans="1:11" ht="18">
      <c r="A28">
        <v>10</v>
      </c>
      <c r="B28" s="166" t="s">
        <v>2148</v>
      </c>
      <c r="C28" s="162">
        <v>23.9</v>
      </c>
      <c r="D28" s="162" t="s">
        <v>2122</v>
      </c>
      <c r="E28" s="252"/>
      <c r="F28" s="85">
        <v>3</v>
      </c>
      <c r="G28" s="253"/>
      <c r="I28" s="253"/>
      <c r="J28" s="237"/>
      <c r="K28" s="257"/>
    </row>
    <row r="29" spans="1:11" ht="18">
      <c r="A29">
        <v>11</v>
      </c>
      <c r="B29" s="166" t="s">
        <v>2149</v>
      </c>
      <c r="C29" s="162">
        <v>14.4</v>
      </c>
      <c r="D29" s="162" t="s">
        <v>2122</v>
      </c>
      <c r="E29" s="252"/>
      <c r="F29" s="85">
        <v>3.5</v>
      </c>
      <c r="G29" s="253"/>
      <c r="I29" s="253"/>
      <c r="J29" s="237"/>
      <c r="K29" s="257"/>
    </row>
    <row r="30" spans="1:11" ht="18">
      <c r="A30">
        <v>12</v>
      </c>
      <c r="B30" s="166" t="s">
        <v>2150</v>
      </c>
      <c r="C30" s="162">
        <v>25.8</v>
      </c>
      <c r="D30" s="162" t="s">
        <v>2122</v>
      </c>
      <c r="E30" s="252"/>
      <c r="F30" s="85">
        <v>3</v>
      </c>
      <c r="G30" s="253"/>
      <c r="I30" s="253"/>
      <c r="J30" s="237"/>
      <c r="K30" s="257"/>
    </row>
    <row r="31" spans="1:11" ht="18">
      <c r="A31">
        <v>13</v>
      </c>
      <c r="B31" s="166" t="s">
        <v>2151</v>
      </c>
      <c r="C31" s="162">
        <v>30.7</v>
      </c>
      <c r="D31" s="162" t="s">
        <v>2122</v>
      </c>
      <c r="E31" s="252"/>
      <c r="F31" s="85">
        <v>2.5</v>
      </c>
      <c r="G31" s="253"/>
      <c r="I31" s="253"/>
      <c r="J31" s="237"/>
      <c r="K31" s="257"/>
    </row>
    <row r="32" spans="1:11" ht="18">
      <c r="A32">
        <v>14</v>
      </c>
      <c r="B32" s="166" t="s">
        <v>2152</v>
      </c>
      <c r="C32" s="162">
        <v>7.5</v>
      </c>
      <c r="D32" s="162" t="s">
        <v>2122</v>
      </c>
      <c r="E32" s="252"/>
      <c r="F32" s="85">
        <v>5.5</v>
      </c>
      <c r="G32" s="253"/>
      <c r="I32" s="253"/>
      <c r="J32" s="237"/>
      <c r="K32" s="257"/>
    </row>
    <row r="33" spans="1:11" ht="18">
      <c r="A33">
        <v>15</v>
      </c>
      <c r="B33" s="166" t="s">
        <v>2153</v>
      </c>
      <c r="C33" s="162">
        <v>19.5</v>
      </c>
      <c r="D33" s="162" t="s">
        <v>2122</v>
      </c>
      <c r="E33" s="252"/>
      <c r="F33" s="85">
        <v>3</v>
      </c>
      <c r="G33" s="253"/>
      <c r="I33" s="253"/>
      <c r="J33" s="237"/>
      <c r="K33" s="257"/>
    </row>
    <row r="34" spans="1:11" ht="18">
      <c r="B34" s="166"/>
      <c r="C34" s="162"/>
      <c r="D34" s="162"/>
      <c r="E34" s="183" t="s">
        <v>2196</v>
      </c>
      <c r="F34" s="85" t="s">
        <v>2179</v>
      </c>
      <c r="I34" s="253"/>
      <c r="J34" s="238"/>
      <c r="K34" s="257"/>
    </row>
    <row r="35" spans="1:11" ht="18">
      <c r="B35" s="188"/>
      <c r="C35" s="156"/>
      <c r="D35" s="156"/>
      <c r="E35" s="158"/>
    </row>
    <row r="36" spans="1:11" ht="18">
      <c r="B36" s="188"/>
      <c r="C36" s="156"/>
      <c r="D36" s="156"/>
      <c r="E36" s="158"/>
    </row>
    <row r="37" spans="1:11" ht="34">
      <c r="B37" s="82" t="s">
        <v>2118</v>
      </c>
      <c r="C37" s="255" t="s">
        <v>2117</v>
      </c>
      <c r="D37" s="256"/>
      <c r="E37" s="204" t="s">
        <v>1298</v>
      </c>
      <c r="F37" s="84" t="s">
        <v>1320</v>
      </c>
      <c r="G37" s="185" t="s">
        <v>1299</v>
      </c>
      <c r="H37" s="74" t="s">
        <v>2089</v>
      </c>
      <c r="I37" s="165" t="s">
        <v>1321</v>
      </c>
    </row>
    <row r="38" spans="1:11" ht="16" customHeight="1">
      <c r="A38">
        <v>1</v>
      </c>
      <c r="B38" s="166" t="s">
        <v>420</v>
      </c>
      <c r="C38" s="162" t="s">
        <v>2204</v>
      </c>
      <c r="D38" s="162" t="s">
        <v>2205</v>
      </c>
      <c r="E38" s="147">
        <v>5</v>
      </c>
      <c r="F38" s="251" t="s">
        <v>1322</v>
      </c>
      <c r="G38" s="190" t="s">
        <v>2204</v>
      </c>
      <c r="H38" s="206" t="s">
        <v>2251</v>
      </c>
      <c r="I38" s="258" t="s">
        <v>2197</v>
      </c>
      <c r="J38" s="236">
        <v>42</v>
      </c>
      <c r="K38" s="257" t="s">
        <v>2104</v>
      </c>
    </row>
    <row r="39" spans="1:11" ht="18">
      <c r="A39">
        <v>2</v>
      </c>
      <c r="B39" s="166" t="s">
        <v>2072</v>
      </c>
      <c r="C39" s="162" t="s">
        <v>2207</v>
      </c>
      <c r="D39" s="162" t="s">
        <v>2219</v>
      </c>
      <c r="E39" s="147">
        <v>5</v>
      </c>
      <c r="F39" s="245"/>
      <c r="G39" s="150" t="s">
        <v>2207</v>
      </c>
      <c r="H39" s="207" t="s">
        <v>2252</v>
      </c>
      <c r="I39" s="243"/>
      <c r="J39" s="237"/>
      <c r="K39" s="257"/>
    </row>
    <row r="40" spans="1:11" ht="18">
      <c r="A40">
        <v>3</v>
      </c>
      <c r="B40" s="166" t="s">
        <v>2073</v>
      </c>
      <c r="C40" s="162" t="s">
        <v>2210</v>
      </c>
      <c r="D40" s="162" t="s">
        <v>2209</v>
      </c>
      <c r="E40" s="147">
        <v>5</v>
      </c>
      <c r="F40" s="245"/>
      <c r="G40" s="191" t="s">
        <v>2210</v>
      </c>
      <c r="H40" s="208">
        <v>63</v>
      </c>
      <c r="I40" s="243"/>
      <c r="J40" s="237"/>
      <c r="K40" s="257"/>
    </row>
    <row r="41" spans="1:11" ht="18">
      <c r="A41">
        <v>4</v>
      </c>
      <c r="B41" s="166" t="s">
        <v>2074</v>
      </c>
      <c r="C41" s="162" t="s">
        <v>2212</v>
      </c>
      <c r="D41" s="162" t="s">
        <v>2231</v>
      </c>
      <c r="E41" s="147">
        <v>5</v>
      </c>
      <c r="F41" s="245"/>
      <c r="G41" s="191" t="s">
        <v>2212</v>
      </c>
      <c r="H41" s="208">
        <v>64</v>
      </c>
      <c r="I41" s="243"/>
      <c r="J41" s="237"/>
      <c r="K41" s="257"/>
    </row>
    <row r="42" spans="1:11" ht="18">
      <c r="A42">
        <v>5</v>
      </c>
      <c r="B42" s="166" t="s">
        <v>2075</v>
      </c>
      <c r="C42" s="162" t="s">
        <v>2215</v>
      </c>
      <c r="D42" s="162" t="s">
        <v>2232</v>
      </c>
      <c r="E42" s="147">
        <v>5</v>
      </c>
      <c r="F42" s="245"/>
      <c r="G42" s="191" t="s">
        <v>2215</v>
      </c>
      <c r="H42" s="208">
        <v>66</v>
      </c>
      <c r="I42" s="243"/>
      <c r="J42" s="237"/>
      <c r="K42" s="257"/>
    </row>
    <row r="43" spans="1:11" ht="18">
      <c r="A43">
        <v>6</v>
      </c>
      <c r="B43" s="166" t="s">
        <v>2076</v>
      </c>
      <c r="C43" s="162" t="s">
        <v>2216</v>
      </c>
      <c r="D43" s="162" t="s">
        <v>2233</v>
      </c>
      <c r="E43" s="147">
        <v>5</v>
      </c>
      <c r="F43" s="245"/>
      <c r="G43" s="191" t="s">
        <v>2216</v>
      </c>
      <c r="H43" s="208">
        <v>67</v>
      </c>
      <c r="I43" s="243"/>
      <c r="J43" s="237"/>
      <c r="K43" s="257"/>
    </row>
    <row r="44" spans="1:11" ht="18">
      <c r="B44" s="180"/>
      <c r="C44" s="197" t="s">
        <v>2217</v>
      </c>
      <c r="D44" s="197" t="s">
        <v>2234</v>
      </c>
      <c r="E44" s="181" t="s">
        <v>1319</v>
      </c>
      <c r="F44" s="96" t="s">
        <v>2228</v>
      </c>
      <c r="G44" s="193" t="s">
        <v>2217</v>
      </c>
      <c r="H44" s="210">
        <v>68</v>
      </c>
      <c r="I44" s="243"/>
      <c r="J44" s="238"/>
      <c r="K44" s="257"/>
    </row>
    <row r="45" spans="1:11" ht="18">
      <c r="B45" s="180"/>
      <c r="C45" s="199"/>
      <c r="D45" s="200"/>
      <c r="E45" s="196" t="s">
        <v>2196</v>
      </c>
      <c r="F45" s="97" t="s">
        <v>1898</v>
      </c>
      <c r="G45" s="191" t="s">
        <v>2205</v>
      </c>
      <c r="H45" s="208">
        <v>69</v>
      </c>
      <c r="I45" s="243"/>
      <c r="J45" s="236">
        <v>42</v>
      </c>
      <c r="K45" s="257"/>
    </row>
    <row r="46" spans="1:11" ht="18">
      <c r="B46" s="180"/>
      <c r="C46" s="198" t="s">
        <v>2206</v>
      </c>
      <c r="D46" s="198" t="s">
        <v>2218</v>
      </c>
      <c r="E46" s="127"/>
      <c r="G46" s="150" t="s">
        <v>2219</v>
      </c>
      <c r="H46" s="209">
        <v>74</v>
      </c>
      <c r="I46" s="243"/>
      <c r="J46" s="237"/>
      <c r="K46" s="257"/>
    </row>
    <row r="47" spans="1:11" ht="18">
      <c r="B47" s="180"/>
      <c r="C47" s="162" t="s">
        <v>2208</v>
      </c>
      <c r="D47" s="162" t="s">
        <v>2220</v>
      </c>
      <c r="E47" s="127"/>
      <c r="G47" s="191" t="s">
        <v>2209</v>
      </c>
      <c r="H47" s="208">
        <v>76</v>
      </c>
      <c r="I47" s="243"/>
      <c r="J47" s="237"/>
      <c r="K47" s="257"/>
    </row>
    <row r="48" spans="1:11" ht="18">
      <c r="B48" s="180"/>
      <c r="C48" s="162" t="s">
        <v>2211</v>
      </c>
      <c r="D48" s="162" t="s">
        <v>2221</v>
      </c>
      <c r="E48"/>
      <c r="G48" s="191" t="s">
        <v>2222</v>
      </c>
      <c r="H48" s="208">
        <v>78</v>
      </c>
      <c r="I48" s="243"/>
      <c r="J48" s="237"/>
      <c r="K48" s="257"/>
    </row>
    <row r="49" spans="2:11" ht="18">
      <c r="B49" s="180"/>
      <c r="C49" s="162" t="s">
        <v>2213</v>
      </c>
      <c r="D49" s="162" t="s">
        <v>2235</v>
      </c>
      <c r="E49"/>
      <c r="G49" s="191" t="s">
        <v>2225</v>
      </c>
      <c r="H49" s="208">
        <v>80</v>
      </c>
      <c r="I49" s="243"/>
      <c r="J49" s="237"/>
      <c r="K49" s="257"/>
    </row>
    <row r="50" spans="2:11" ht="18">
      <c r="B50" s="180"/>
      <c r="C50" s="162" t="s">
        <v>2214</v>
      </c>
      <c r="D50" s="162" t="s">
        <v>2236</v>
      </c>
      <c r="E50"/>
      <c r="G50" s="191" t="s">
        <v>2226</v>
      </c>
      <c r="H50" s="208">
        <v>82</v>
      </c>
      <c r="I50" s="243"/>
      <c r="J50" s="237"/>
      <c r="K50" s="257"/>
    </row>
    <row r="51" spans="2:11" ht="18">
      <c r="D51" s="28"/>
      <c r="E51"/>
      <c r="G51" s="193" t="s">
        <v>2227</v>
      </c>
      <c r="H51" s="210">
        <v>85</v>
      </c>
      <c r="I51" s="243"/>
      <c r="J51" s="238"/>
      <c r="K51" s="257"/>
    </row>
    <row r="52" spans="2:11" ht="18">
      <c r="D52" s="28"/>
      <c r="E52"/>
      <c r="G52" s="182" t="s">
        <v>2206</v>
      </c>
      <c r="H52" s="206" t="s">
        <v>2251</v>
      </c>
      <c r="I52" s="230"/>
      <c r="J52" s="236">
        <v>30</v>
      </c>
      <c r="K52" s="257" t="s">
        <v>2106</v>
      </c>
    </row>
    <row r="53" spans="2:11" ht="18">
      <c r="D53" s="28"/>
      <c r="E53"/>
      <c r="G53" s="150" t="s">
        <v>2208</v>
      </c>
      <c r="H53" s="207" t="s">
        <v>2252</v>
      </c>
      <c r="I53" s="230"/>
      <c r="J53" s="237"/>
      <c r="K53" s="257"/>
    </row>
    <row r="54" spans="2:11" ht="18">
      <c r="D54" s="28"/>
      <c r="E54"/>
      <c r="G54" s="191" t="s">
        <v>2211</v>
      </c>
      <c r="H54" s="208">
        <v>63</v>
      </c>
      <c r="I54" s="230"/>
      <c r="J54" s="237"/>
      <c r="K54" s="257"/>
    </row>
    <row r="55" spans="2:11" ht="18">
      <c r="D55" s="20"/>
      <c r="E55"/>
      <c r="G55" s="191" t="s">
        <v>2213</v>
      </c>
      <c r="H55" s="208">
        <v>64</v>
      </c>
      <c r="I55" s="230"/>
      <c r="J55" s="237"/>
      <c r="K55" s="257"/>
    </row>
    <row r="56" spans="2:11" ht="18">
      <c r="D56" s="20"/>
      <c r="E56"/>
      <c r="G56" s="194" t="s">
        <v>2214</v>
      </c>
      <c r="H56" s="210">
        <v>66</v>
      </c>
      <c r="I56" s="230"/>
      <c r="J56" s="237"/>
      <c r="K56" s="257"/>
    </row>
    <row r="57" spans="2:11" ht="18">
      <c r="D57" s="20"/>
      <c r="E57"/>
      <c r="G57" s="150" t="s">
        <v>2218</v>
      </c>
      <c r="H57" s="208">
        <v>67</v>
      </c>
      <c r="I57" s="230"/>
      <c r="J57" s="236">
        <v>30</v>
      </c>
      <c r="K57" s="257"/>
    </row>
    <row r="58" spans="2:11" ht="18">
      <c r="D58" s="20"/>
      <c r="E58"/>
      <c r="G58" s="150" t="s">
        <v>2220</v>
      </c>
      <c r="H58" s="208">
        <v>68</v>
      </c>
      <c r="I58" s="230"/>
      <c r="J58" s="237"/>
      <c r="K58" s="257"/>
    </row>
    <row r="59" spans="2:11" ht="18">
      <c r="D59" s="20"/>
      <c r="E59"/>
      <c r="G59" s="191" t="s">
        <v>2221</v>
      </c>
      <c r="H59" s="208">
        <v>69</v>
      </c>
      <c r="I59" s="230"/>
      <c r="J59" s="237"/>
      <c r="K59" s="257"/>
    </row>
    <row r="60" spans="2:11" ht="18">
      <c r="D60" s="20"/>
      <c r="E60"/>
      <c r="G60" s="191" t="s">
        <v>2223</v>
      </c>
      <c r="H60" s="208">
        <v>76</v>
      </c>
      <c r="I60" s="230"/>
      <c r="J60" s="237"/>
      <c r="K60" s="257"/>
    </row>
    <row r="61" spans="2:11" ht="18">
      <c r="D61" s="20"/>
      <c r="E61"/>
      <c r="G61" s="194" t="s">
        <v>2224</v>
      </c>
      <c r="H61" s="208">
        <v>78</v>
      </c>
      <c r="I61" s="231"/>
      <c r="J61" s="238"/>
      <c r="K61" s="257"/>
    </row>
    <row r="62" spans="2:11" ht="17">
      <c r="D62" s="20"/>
      <c r="E62"/>
      <c r="H62" s="164" t="s">
        <v>2253</v>
      </c>
      <c r="I62" s="195" t="s">
        <v>1886</v>
      </c>
    </row>
    <row r="63" spans="2:11" ht="17">
      <c r="D63" s="20"/>
      <c r="E63"/>
      <c r="H63" s="165" t="s">
        <v>1885</v>
      </c>
      <c r="I63" s="183" t="s">
        <v>2195</v>
      </c>
    </row>
    <row r="65" spans="1:11">
      <c r="B65" s="178"/>
    </row>
    <row r="66" spans="1:11" ht="17">
      <c r="B66" s="82" t="s">
        <v>2118</v>
      </c>
      <c r="C66" s="255" t="s">
        <v>2117</v>
      </c>
      <c r="D66" s="256"/>
      <c r="E66" s="201" t="s">
        <v>1298</v>
      </c>
      <c r="F66" s="84" t="s">
        <v>1320</v>
      </c>
      <c r="G66" s="185" t="s">
        <v>1299</v>
      </c>
      <c r="H66" s="74" t="s">
        <v>2089</v>
      </c>
      <c r="I66" s="165" t="s">
        <v>1321</v>
      </c>
    </row>
    <row r="67" spans="1:11" ht="18" customHeight="1">
      <c r="A67">
        <v>1</v>
      </c>
      <c r="B67" s="166" t="s">
        <v>2238</v>
      </c>
      <c r="C67" s="162" t="s">
        <v>2215</v>
      </c>
      <c r="D67" s="199" t="s">
        <v>2232</v>
      </c>
      <c r="E67" s="74">
        <v>8</v>
      </c>
      <c r="F67" s="246" t="s">
        <v>1322</v>
      </c>
      <c r="G67" s="190" t="s">
        <v>2215</v>
      </c>
      <c r="H67" s="211">
        <v>64</v>
      </c>
      <c r="I67" s="229" t="s">
        <v>2197</v>
      </c>
      <c r="J67" s="236">
        <v>16</v>
      </c>
      <c r="K67" s="236" t="s">
        <v>2106</v>
      </c>
    </row>
    <row r="68" spans="1:11" ht="18">
      <c r="A68">
        <v>2</v>
      </c>
      <c r="B68" s="166" t="s">
        <v>2239</v>
      </c>
      <c r="C68" s="162" t="s">
        <v>2216</v>
      </c>
      <c r="D68" s="199" t="s">
        <v>2233</v>
      </c>
      <c r="E68" s="75">
        <v>8</v>
      </c>
      <c r="F68" s="247"/>
      <c r="G68" s="191" t="s">
        <v>2216</v>
      </c>
      <c r="H68" s="210">
        <v>66</v>
      </c>
      <c r="I68" s="230"/>
      <c r="J68" s="237"/>
      <c r="K68" s="237"/>
    </row>
    <row r="69" spans="1:11" ht="18">
      <c r="A69">
        <v>3</v>
      </c>
      <c r="B69" s="166" t="s">
        <v>2240</v>
      </c>
      <c r="D69" s="28"/>
      <c r="E69" s="75">
        <v>8</v>
      </c>
      <c r="F69" s="247"/>
      <c r="G69" s="191" t="s">
        <v>2225</v>
      </c>
      <c r="H69" s="208">
        <v>76</v>
      </c>
      <c r="I69" s="230"/>
      <c r="J69" s="237"/>
      <c r="K69" s="237"/>
    </row>
    <row r="70" spans="1:11" ht="18">
      <c r="A70">
        <v>4</v>
      </c>
      <c r="B70" s="166" t="s">
        <v>2241</v>
      </c>
      <c r="D70" s="28"/>
      <c r="E70" s="77">
        <v>8</v>
      </c>
      <c r="F70" s="247"/>
      <c r="G70" s="194" t="s">
        <v>2226</v>
      </c>
      <c r="H70" s="210">
        <v>78</v>
      </c>
      <c r="I70" s="230"/>
      <c r="J70" s="237"/>
      <c r="K70" s="237"/>
    </row>
    <row r="71" spans="1:11">
      <c r="B71" s="180"/>
      <c r="D71" s="28"/>
      <c r="E71" s="83" t="s">
        <v>2254</v>
      </c>
      <c r="F71" s="96" t="s">
        <v>2119</v>
      </c>
      <c r="G71" s="192"/>
      <c r="H71" s="203" t="s">
        <v>2237</v>
      </c>
      <c r="I71" s="230"/>
      <c r="J71" s="238"/>
      <c r="K71" s="238"/>
    </row>
    <row r="72" spans="1:11">
      <c r="B72" s="180"/>
      <c r="D72" s="28"/>
      <c r="E72" s="183" t="s">
        <v>2196</v>
      </c>
      <c r="F72" s="97" t="s">
        <v>1898</v>
      </c>
      <c r="G72" s="191"/>
      <c r="H72" s="85" t="s">
        <v>2186</v>
      </c>
      <c r="I72" s="230"/>
    </row>
    <row r="73" spans="1:11" ht="17">
      <c r="B73" s="180"/>
      <c r="D73" s="28"/>
      <c r="E73" s="127"/>
      <c r="G73" s="189"/>
      <c r="H73" s="195" t="s">
        <v>1886</v>
      </c>
      <c r="I73" s="230"/>
    </row>
    <row r="74" spans="1:11" ht="17">
      <c r="B74" s="180"/>
      <c r="D74" s="28"/>
      <c r="E74" s="127"/>
      <c r="G74" s="202"/>
      <c r="H74" s="165" t="s">
        <v>1885</v>
      </c>
      <c r="I74" s="230"/>
    </row>
    <row r="75" spans="1:11">
      <c r="B75" s="180"/>
      <c r="D75" s="28"/>
      <c r="E75"/>
      <c r="G75" s="202"/>
      <c r="H75" s="183" t="s">
        <v>2195</v>
      </c>
      <c r="I75" s="231"/>
    </row>
    <row r="76" spans="1:11">
      <c r="B76" s="180"/>
      <c r="D76" s="28"/>
      <c r="E76"/>
    </row>
    <row r="77" spans="1:11">
      <c r="B77" s="180"/>
      <c r="D77" s="28"/>
      <c r="E77"/>
    </row>
    <row r="78" spans="1:11" ht="18">
      <c r="A78">
        <v>1</v>
      </c>
      <c r="B78" s="186" t="s">
        <v>2121</v>
      </c>
      <c r="C78" s="167">
        <v>108</v>
      </c>
      <c r="D78" s="167" t="s">
        <v>2122</v>
      </c>
      <c r="E78" s="254" t="s">
        <v>2171</v>
      </c>
      <c r="F78" s="85">
        <v>10</v>
      </c>
      <c r="G78" s="253" t="s">
        <v>2188</v>
      </c>
      <c r="H78" s="164" t="s">
        <v>2244</v>
      </c>
      <c r="I78" s="253" t="s">
        <v>2190</v>
      </c>
      <c r="J78" s="255">
        <v>4</v>
      </c>
      <c r="K78" s="236" t="s">
        <v>2106</v>
      </c>
    </row>
    <row r="79" spans="1:11" ht="18">
      <c r="A79">
        <v>2</v>
      </c>
      <c r="B79" s="186" t="s">
        <v>2123</v>
      </c>
      <c r="C79" s="167">
        <v>110</v>
      </c>
      <c r="D79" s="167" t="s">
        <v>2122</v>
      </c>
      <c r="E79" s="254"/>
      <c r="F79" s="85">
        <v>10</v>
      </c>
      <c r="G79" s="253"/>
      <c r="H79" s="85" t="s">
        <v>2186</v>
      </c>
      <c r="I79" s="253"/>
      <c r="J79" s="255"/>
      <c r="K79" s="237"/>
    </row>
    <row r="80" spans="1:11" ht="18">
      <c r="A80">
        <v>3</v>
      </c>
      <c r="B80" s="186" t="s">
        <v>2124</v>
      </c>
      <c r="C80" s="167">
        <v>132</v>
      </c>
      <c r="D80" s="167" t="s">
        <v>2122</v>
      </c>
      <c r="E80" s="254"/>
      <c r="F80" s="85">
        <v>10</v>
      </c>
      <c r="G80" s="253"/>
      <c r="H80" s="164" t="s">
        <v>1886</v>
      </c>
      <c r="I80" s="253"/>
      <c r="J80" s="255"/>
      <c r="K80" s="237"/>
    </row>
    <row r="81" spans="1:11" ht="33" customHeight="1">
      <c r="A81">
        <v>4</v>
      </c>
      <c r="B81" s="166" t="s">
        <v>2242</v>
      </c>
      <c r="C81" s="167">
        <v>116</v>
      </c>
      <c r="D81" s="167" t="s">
        <v>2122</v>
      </c>
      <c r="E81" s="179" t="s">
        <v>2243</v>
      </c>
      <c r="F81" s="85">
        <v>10</v>
      </c>
      <c r="G81" s="170"/>
      <c r="H81" s="85" t="s">
        <v>1885</v>
      </c>
      <c r="I81" s="253"/>
      <c r="J81" s="255"/>
      <c r="K81" s="237"/>
    </row>
    <row r="82" spans="1:11" ht="18">
      <c r="B82" s="186"/>
      <c r="C82" s="167"/>
      <c r="D82" s="167"/>
      <c r="E82" s="177" t="s">
        <v>2203</v>
      </c>
      <c r="F82" s="85" t="s">
        <v>1885</v>
      </c>
      <c r="H82" s="177" t="s">
        <v>2189</v>
      </c>
      <c r="I82" s="253"/>
      <c r="J82" s="255"/>
      <c r="K82" s="238"/>
    </row>
    <row r="83" spans="1:11" ht="18">
      <c r="B83" s="187"/>
      <c r="C83" s="155"/>
      <c r="D83" s="155"/>
      <c r="E83" s="160"/>
    </row>
    <row r="84" spans="1:11" ht="18">
      <c r="B84" s="187"/>
      <c r="C84" s="155"/>
      <c r="D84" s="155"/>
      <c r="E84" s="160"/>
    </row>
    <row r="85" spans="1:11" ht="18">
      <c r="A85">
        <v>1</v>
      </c>
      <c r="B85" s="166" t="s">
        <v>2166</v>
      </c>
      <c r="C85" s="162">
        <v>44.4</v>
      </c>
      <c r="D85" s="162" t="s">
        <v>2122</v>
      </c>
      <c r="E85" s="253" t="s">
        <v>2170</v>
      </c>
      <c r="F85" s="168">
        <v>10</v>
      </c>
      <c r="G85" s="253" t="s">
        <v>2188</v>
      </c>
      <c r="H85" s="164" t="s">
        <v>2245</v>
      </c>
      <c r="I85" s="253" t="s">
        <v>2190</v>
      </c>
      <c r="J85" s="255">
        <v>6</v>
      </c>
      <c r="K85" s="236" t="s">
        <v>2106</v>
      </c>
    </row>
    <row r="86" spans="1:11" ht="18">
      <c r="A86">
        <v>2</v>
      </c>
      <c r="B86" s="166" t="s">
        <v>2255</v>
      </c>
      <c r="C86" s="162">
        <v>204</v>
      </c>
      <c r="D86" s="162" t="s">
        <v>2122</v>
      </c>
      <c r="E86" s="253"/>
      <c r="F86" s="85">
        <v>6</v>
      </c>
      <c r="G86" s="253"/>
      <c r="H86" s="85" t="s">
        <v>2186</v>
      </c>
      <c r="I86" s="253"/>
      <c r="J86" s="255"/>
      <c r="K86" s="237"/>
    </row>
    <row r="87" spans="1:11" ht="18">
      <c r="A87">
        <v>3</v>
      </c>
      <c r="B87" s="166" t="s">
        <v>2256</v>
      </c>
      <c r="C87" s="162">
        <v>35.6</v>
      </c>
      <c r="D87" s="162" t="s">
        <v>2122</v>
      </c>
      <c r="E87" s="253"/>
      <c r="F87" s="83" t="s">
        <v>2185</v>
      </c>
      <c r="G87" s="253"/>
      <c r="H87" s="164" t="s">
        <v>1886</v>
      </c>
      <c r="I87" s="253"/>
      <c r="J87" s="255"/>
      <c r="K87" s="237"/>
    </row>
    <row r="88" spans="1:11" ht="18">
      <c r="B88" s="82"/>
      <c r="C88" s="85"/>
      <c r="D88" s="85"/>
      <c r="E88" s="177" t="s">
        <v>2203</v>
      </c>
      <c r="F88" s="85" t="s">
        <v>2181</v>
      </c>
      <c r="H88" s="85" t="s">
        <v>1885</v>
      </c>
      <c r="I88" s="253"/>
      <c r="J88" s="255"/>
      <c r="K88" s="237"/>
    </row>
    <row r="89" spans="1:11" ht="18">
      <c r="B89" s="187"/>
      <c r="C89" s="155"/>
      <c r="D89" s="155"/>
      <c r="E89" s="160"/>
      <c r="H89" s="177" t="s">
        <v>2189</v>
      </c>
      <c r="K89" s="238"/>
    </row>
    <row r="90" spans="1:11" ht="18">
      <c r="C90" s="155"/>
      <c r="D90" s="159"/>
      <c r="E90" s="170"/>
      <c r="F90" s="169"/>
    </row>
    <row r="91" spans="1:11" ht="18">
      <c r="C91" s="155"/>
      <c r="D91" s="159"/>
      <c r="E91" s="170"/>
      <c r="F91" s="169"/>
    </row>
    <row r="92" spans="1:11" ht="17" customHeight="1">
      <c r="A92">
        <v>1</v>
      </c>
      <c r="B92" s="166" t="s">
        <v>2136</v>
      </c>
      <c r="C92" s="162"/>
      <c r="D92" s="162" t="s">
        <v>2167</v>
      </c>
      <c r="E92" s="253" t="s">
        <v>2172</v>
      </c>
      <c r="F92" s="85">
        <v>3</v>
      </c>
      <c r="G92" s="253" t="s">
        <v>2194</v>
      </c>
      <c r="H92" s="205" t="s">
        <v>2248</v>
      </c>
      <c r="I92" s="253" t="s">
        <v>2198</v>
      </c>
      <c r="J92" s="236">
        <v>14</v>
      </c>
      <c r="K92" s="257" t="s">
        <v>2106</v>
      </c>
    </row>
    <row r="93" spans="1:11" ht="18">
      <c r="A93">
        <v>2</v>
      </c>
      <c r="B93" s="166" t="s">
        <v>2138</v>
      </c>
      <c r="C93" s="162">
        <v>0.68</v>
      </c>
      <c r="D93" s="162" t="s">
        <v>2167</v>
      </c>
      <c r="E93" s="253"/>
      <c r="F93" s="85">
        <v>10</v>
      </c>
      <c r="G93" s="253"/>
      <c r="H93" s="176" t="s">
        <v>2183</v>
      </c>
      <c r="I93" s="253"/>
      <c r="J93" s="237"/>
      <c r="K93" s="257"/>
    </row>
    <row r="94" spans="1:11" ht="18">
      <c r="A94">
        <v>3</v>
      </c>
      <c r="B94" s="166" t="s">
        <v>2127</v>
      </c>
      <c r="C94" s="162">
        <v>4.4000000000000004</v>
      </c>
      <c r="D94" s="162" t="s">
        <v>2122</v>
      </c>
      <c r="E94" s="252" t="s">
        <v>2168</v>
      </c>
      <c r="F94" s="85">
        <v>4</v>
      </c>
      <c r="G94" s="253"/>
      <c r="H94" s="175" t="s">
        <v>1326</v>
      </c>
      <c r="I94" s="253"/>
      <c r="J94" s="237"/>
      <c r="K94" s="257"/>
    </row>
    <row r="95" spans="1:11" ht="18">
      <c r="A95">
        <v>4</v>
      </c>
      <c r="B95" s="166" t="s">
        <v>2133</v>
      </c>
      <c r="C95" s="162">
        <v>9.1999999999999993</v>
      </c>
      <c r="D95" s="162" t="s">
        <v>2122</v>
      </c>
      <c r="E95" s="252"/>
      <c r="F95" s="85">
        <v>3</v>
      </c>
      <c r="G95" s="253"/>
      <c r="H95" s="176" t="s">
        <v>1327</v>
      </c>
      <c r="I95" s="253"/>
      <c r="J95" s="237"/>
      <c r="K95" s="257"/>
    </row>
    <row r="96" spans="1:11" ht="18" customHeight="1">
      <c r="A96">
        <v>5</v>
      </c>
      <c r="B96" s="166" t="s">
        <v>2134</v>
      </c>
      <c r="C96" s="162">
        <v>10.7</v>
      </c>
      <c r="D96" s="162" t="s">
        <v>2122</v>
      </c>
      <c r="E96" s="252"/>
      <c r="F96" s="85">
        <v>2.5</v>
      </c>
      <c r="G96" s="253"/>
      <c r="H96" s="183" t="s">
        <v>2195</v>
      </c>
      <c r="I96" s="253"/>
      <c r="J96" s="237"/>
      <c r="K96" s="257"/>
    </row>
    <row r="97" spans="1:11" ht="18">
      <c r="A97">
        <v>6</v>
      </c>
      <c r="B97" s="166" t="s">
        <v>2135</v>
      </c>
      <c r="C97" s="162">
        <v>16.399999999999999</v>
      </c>
      <c r="D97" s="162" t="s">
        <v>2122</v>
      </c>
      <c r="E97" s="252"/>
      <c r="F97" s="85">
        <v>2.5</v>
      </c>
      <c r="G97" s="253"/>
      <c r="I97" s="253"/>
      <c r="J97" s="237"/>
      <c r="K97" s="257"/>
    </row>
    <row r="98" spans="1:11" ht="18">
      <c r="A98">
        <v>7</v>
      </c>
      <c r="B98" s="166" t="s">
        <v>2137</v>
      </c>
      <c r="C98" s="162">
        <v>21.8</v>
      </c>
      <c r="D98" s="162" t="s">
        <v>2122</v>
      </c>
      <c r="E98" s="252"/>
      <c r="F98" s="85">
        <v>2</v>
      </c>
      <c r="G98" s="253"/>
      <c r="I98" s="253"/>
      <c r="J98" s="237"/>
      <c r="K98" s="257"/>
    </row>
    <row r="99" spans="1:11" ht="18">
      <c r="A99">
        <v>8</v>
      </c>
      <c r="B99" s="166" t="s">
        <v>2139</v>
      </c>
      <c r="C99" s="162">
        <v>7.4</v>
      </c>
      <c r="D99" s="162" t="s">
        <v>2122</v>
      </c>
      <c r="E99" s="252"/>
      <c r="F99" s="85">
        <v>3.5</v>
      </c>
      <c r="G99" s="253"/>
      <c r="I99" s="253"/>
      <c r="J99" s="237"/>
      <c r="K99" s="257"/>
    </row>
    <row r="100" spans="1:11" ht="18">
      <c r="A100">
        <v>9</v>
      </c>
      <c r="B100" s="166" t="s">
        <v>2128</v>
      </c>
      <c r="C100" s="162">
        <v>18.7</v>
      </c>
      <c r="D100" s="162" t="s">
        <v>2122</v>
      </c>
      <c r="E100" s="252"/>
      <c r="F100" s="85">
        <v>2.5</v>
      </c>
      <c r="G100" s="253"/>
      <c r="I100" s="253"/>
      <c r="J100" s="237"/>
      <c r="K100" s="257"/>
    </row>
    <row r="101" spans="1:11" ht="18">
      <c r="A101">
        <v>10</v>
      </c>
      <c r="B101" s="166" t="s">
        <v>2129</v>
      </c>
      <c r="C101" s="162">
        <v>17</v>
      </c>
      <c r="D101" s="162" t="s">
        <v>2122</v>
      </c>
      <c r="E101" s="252"/>
      <c r="F101" s="85">
        <v>2.5</v>
      </c>
      <c r="G101" s="253"/>
      <c r="I101" s="253"/>
      <c r="J101" s="237"/>
      <c r="K101" s="257"/>
    </row>
    <row r="102" spans="1:11" ht="18">
      <c r="A102">
        <v>11</v>
      </c>
      <c r="B102" s="166" t="s">
        <v>2130</v>
      </c>
      <c r="C102" s="162">
        <v>19.2</v>
      </c>
      <c r="D102" s="162" t="s">
        <v>2122</v>
      </c>
      <c r="E102" s="252"/>
      <c r="F102" s="85">
        <v>2.5</v>
      </c>
      <c r="G102" s="253"/>
      <c r="I102" s="253"/>
      <c r="J102" s="237"/>
      <c r="K102" s="257"/>
    </row>
    <row r="103" spans="1:11" ht="18">
      <c r="A103">
        <v>12</v>
      </c>
      <c r="B103" s="166" t="s">
        <v>2131</v>
      </c>
      <c r="C103" s="162">
        <v>18.100000000000001</v>
      </c>
      <c r="D103" s="162" t="s">
        <v>2122</v>
      </c>
      <c r="E103" s="252"/>
      <c r="F103" s="85">
        <v>2.5</v>
      </c>
      <c r="G103" s="253"/>
      <c r="I103" s="253"/>
      <c r="J103" s="237"/>
      <c r="K103" s="257"/>
    </row>
    <row r="104" spans="1:11" ht="18">
      <c r="A104">
        <v>13</v>
      </c>
      <c r="B104" s="166" t="s">
        <v>2132</v>
      </c>
      <c r="C104" s="162">
        <v>28</v>
      </c>
      <c r="D104" s="162" t="s">
        <v>2122</v>
      </c>
      <c r="E104" s="252"/>
      <c r="F104" s="85">
        <v>1.5</v>
      </c>
      <c r="G104" s="253"/>
      <c r="I104" s="253"/>
      <c r="J104" s="237"/>
      <c r="K104" s="257"/>
    </row>
    <row r="105" spans="1:11" ht="18">
      <c r="B105" s="166"/>
      <c r="C105" s="162"/>
      <c r="D105" s="162"/>
      <c r="E105" s="183" t="s">
        <v>2196</v>
      </c>
      <c r="F105" s="83" t="s">
        <v>2180</v>
      </c>
      <c r="I105" s="253"/>
      <c r="J105" s="238"/>
      <c r="K105" s="257"/>
    </row>
    <row r="106" spans="1:11" ht="18">
      <c r="B106" s="188"/>
      <c r="C106" s="156"/>
      <c r="D106" s="156"/>
      <c r="E106" s="157"/>
    </row>
    <row r="107" spans="1:11" ht="18">
      <c r="B107" s="188"/>
      <c r="C107" s="156"/>
      <c r="D107" s="156"/>
      <c r="E107" s="158"/>
      <c r="G107" s="189"/>
    </row>
    <row r="108" spans="1:11" ht="18">
      <c r="A108">
        <v>1</v>
      </c>
      <c r="B108" s="166" t="s">
        <v>2154</v>
      </c>
      <c r="C108" s="85"/>
      <c r="D108" s="162" t="s">
        <v>2122</v>
      </c>
      <c r="E108" s="252" t="s">
        <v>2168</v>
      </c>
      <c r="F108" s="85">
        <v>10</v>
      </c>
      <c r="G108" s="253" t="s">
        <v>2193</v>
      </c>
      <c r="H108" s="205" t="s">
        <v>2250</v>
      </c>
      <c r="I108" s="253" t="s">
        <v>2197</v>
      </c>
      <c r="J108" s="236">
        <v>20</v>
      </c>
      <c r="K108" s="257" t="s">
        <v>2106</v>
      </c>
    </row>
    <row r="109" spans="1:11" ht="18">
      <c r="A109">
        <v>2</v>
      </c>
      <c r="B109" s="166" t="s">
        <v>302</v>
      </c>
      <c r="C109" s="166">
        <v>0.4</v>
      </c>
      <c r="D109" s="162" t="s">
        <v>2122</v>
      </c>
      <c r="E109" s="252"/>
      <c r="F109" s="85">
        <v>3.5</v>
      </c>
      <c r="G109" s="253"/>
      <c r="H109" s="176" t="s">
        <v>2183</v>
      </c>
      <c r="I109" s="253"/>
      <c r="J109" s="237"/>
      <c r="K109" s="257"/>
    </row>
    <row r="110" spans="1:11" ht="18">
      <c r="A110">
        <v>3</v>
      </c>
      <c r="B110" s="166" t="s">
        <v>289</v>
      </c>
      <c r="C110" s="166">
        <v>8.5</v>
      </c>
      <c r="D110" s="162" t="s">
        <v>2122</v>
      </c>
      <c r="E110" s="252"/>
      <c r="F110" s="85">
        <v>2.5</v>
      </c>
      <c r="G110" s="253"/>
      <c r="H110" s="175" t="s">
        <v>1326</v>
      </c>
      <c r="I110" s="253"/>
      <c r="J110" s="237"/>
      <c r="K110" s="257"/>
    </row>
    <row r="111" spans="1:11" ht="18">
      <c r="A111">
        <v>4</v>
      </c>
      <c r="B111" s="166" t="s">
        <v>286</v>
      </c>
      <c r="C111" s="166">
        <v>2.9</v>
      </c>
      <c r="D111" s="162" t="s">
        <v>2122</v>
      </c>
      <c r="E111" s="252"/>
      <c r="F111" s="85">
        <v>1.5</v>
      </c>
      <c r="G111" s="253"/>
      <c r="H111" s="176" t="s">
        <v>1327</v>
      </c>
      <c r="I111" s="253"/>
      <c r="J111" s="237"/>
      <c r="K111" s="257"/>
    </row>
    <row r="112" spans="1:11" ht="18">
      <c r="A112">
        <v>5</v>
      </c>
      <c r="B112" s="166" t="s">
        <v>2156</v>
      </c>
      <c r="C112" s="162">
        <v>10.3</v>
      </c>
      <c r="D112" s="162" t="s">
        <v>2122</v>
      </c>
      <c r="E112" s="252"/>
      <c r="F112" s="85">
        <v>2.5</v>
      </c>
      <c r="G112" s="253"/>
      <c r="H112" s="184" t="s">
        <v>2195</v>
      </c>
      <c r="I112" s="253"/>
      <c r="J112" s="237"/>
      <c r="K112" s="257"/>
    </row>
    <row r="113" spans="1:11" ht="18">
      <c r="A113">
        <v>6</v>
      </c>
      <c r="B113" s="166" t="s">
        <v>2155</v>
      </c>
      <c r="C113" s="162">
        <v>2.2999999999999998</v>
      </c>
      <c r="D113" s="162" t="s">
        <v>2122</v>
      </c>
      <c r="E113" s="252"/>
      <c r="F113" s="85">
        <v>5</v>
      </c>
      <c r="G113" s="253"/>
      <c r="I113" s="253"/>
      <c r="J113" s="237"/>
      <c r="K113" s="257"/>
    </row>
    <row r="114" spans="1:11" ht="18">
      <c r="A114">
        <v>7</v>
      </c>
      <c r="B114" s="166" t="s">
        <v>2157</v>
      </c>
      <c r="C114" s="161">
        <v>22.5</v>
      </c>
      <c r="D114" s="162" t="s">
        <v>2122</v>
      </c>
      <c r="E114" s="252"/>
      <c r="F114" s="85">
        <v>2</v>
      </c>
      <c r="G114" s="253"/>
      <c r="I114" s="253"/>
      <c r="J114" s="237"/>
      <c r="K114" s="257"/>
    </row>
    <row r="115" spans="1:11" ht="18">
      <c r="A115">
        <v>8</v>
      </c>
      <c r="B115" s="166" t="s">
        <v>2158</v>
      </c>
      <c r="C115" s="162">
        <v>12.7</v>
      </c>
      <c r="D115" s="162" t="s">
        <v>2122</v>
      </c>
      <c r="E115" s="252"/>
      <c r="F115" s="85">
        <v>2.5</v>
      </c>
      <c r="G115" s="253"/>
      <c r="I115" s="253"/>
      <c r="J115" s="237"/>
      <c r="K115" s="257"/>
    </row>
    <row r="116" spans="1:11" ht="18">
      <c r="A116">
        <v>9</v>
      </c>
      <c r="B116" s="166" t="s">
        <v>2159</v>
      </c>
      <c r="C116" s="162">
        <v>21.6</v>
      </c>
      <c r="D116" s="162" t="s">
        <v>2122</v>
      </c>
      <c r="E116" s="252"/>
      <c r="F116" s="85">
        <v>2</v>
      </c>
      <c r="G116" s="253"/>
      <c r="I116" s="253"/>
      <c r="J116" s="237"/>
      <c r="K116" s="257"/>
    </row>
    <row r="117" spans="1:11" ht="18">
      <c r="A117">
        <v>10</v>
      </c>
      <c r="B117" s="166" t="s">
        <v>2160</v>
      </c>
      <c r="C117" s="162">
        <v>15.9</v>
      </c>
      <c r="D117" s="162" t="s">
        <v>2122</v>
      </c>
      <c r="E117" s="252"/>
      <c r="F117" s="85">
        <v>2.5</v>
      </c>
      <c r="G117" s="253"/>
      <c r="I117" s="253"/>
      <c r="J117" s="237"/>
      <c r="K117" s="257"/>
    </row>
    <row r="118" spans="1:11" ht="18">
      <c r="A118">
        <v>11</v>
      </c>
      <c r="B118" s="166" t="s">
        <v>2161</v>
      </c>
      <c r="C118" s="162">
        <v>5.0999999999999996</v>
      </c>
      <c r="D118" s="162" t="s">
        <v>2122</v>
      </c>
      <c r="E118" s="252"/>
      <c r="F118" s="85">
        <v>4</v>
      </c>
      <c r="G118" s="253"/>
      <c r="I118" s="253"/>
      <c r="J118" s="237"/>
      <c r="K118" s="257"/>
    </row>
    <row r="119" spans="1:11" ht="18">
      <c r="A119">
        <v>12</v>
      </c>
      <c r="B119" s="166" t="s">
        <v>2162</v>
      </c>
      <c r="C119" s="162">
        <v>14.9</v>
      </c>
      <c r="D119" s="162" t="s">
        <v>2122</v>
      </c>
      <c r="E119" s="252"/>
      <c r="F119" s="85">
        <v>2.5</v>
      </c>
      <c r="G119" s="253"/>
      <c r="I119" s="253"/>
      <c r="J119" s="237"/>
      <c r="K119" s="257"/>
    </row>
    <row r="120" spans="1:11" ht="18">
      <c r="A120">
        <v>13</v>
      </c>
      <c r="B120" s="166" t="s">
        <v>2163</v>
      </c>
      <c r="C120" s="162">
        <v>3.6</v>
      </c>
      <c r="D120" s="162" t="s">
        <v>2122</v>
      </c>
      <c r="E120" s="252"/>
      <c r="F120" s="85">
        <v>4</v>
      </c>
      <c r="G120" s="253"/>
      <c r="I120" s="253"/>
      <c r="J120" s="237"/>
      <c r="K120" s="257"/>
    </row>
    <row r="121" spans="1:11" ht="18">
      <c r="A121">
        <v>14</v>
      </c>
      <c r="B121" s="166" t="s">
        <v>2164</v>
      </c>
      <c r="C121" s="162">
        <v>17.7</v>
      </c>
      <c r="D121" s="162" t="s">
        <v>2122</v>
      </c>
      <c r="E121" s="252"/>
      <c r="F121" s="85">
        <v>2.5</v>
      </c>
      <c r="G121" s="253"/>
      <c r="I121" s="253"/>
      <c r="J121" s="237"/>
      <c r="K121" s="257"/>
    </row>
    <row r="122" spans="1:11" ht="18">
      <c r="A122">
        <v>15</v>
      </c>
      <c r="B122" s="166" t="s">
        <v>2165</v>
      </c>
      <c r="C122" s="162">
        <v>28.5</v>
      </c>
      <c r="D122" s="162" t="s">
        <v>2122</v>
      </c>
      <c r="E122" s="252"/>
      <c r="F122" s="85">
        <v>2</v>
      </c>
      <c r="G122" s="253"/>
      <c r="I122" s="253"/>
      <c r="J122" s="237"/>
      <c r="K122" s="257"/>
    </row>
    <row r="123" spans="1:11" ht="18">
      <c r="A123">
        <v>16</v>
      </c>
      <c r="B123" s="166" t="s">
        <v>2173</v>
      </c>
      <c r="C123" s="162">
        <v>19</v>
      </c>
      <c r="D123" s="162" t="s">
        <v>2122</v>
      </c>
      <c r="E123" s="252"/>
      <c r="F123" s="85">
        <v>2.5</v>
      </c>
      <c r="G123" s="253"/>
      <c r="I123" s="253"/>
      <c r="J123" s="237"/>
      <c r="K123" s="257"/>
    </row>
    <row r="124" spans="1:11" ht="18">
      <c r="A124">
        <v>17</v>
      </c>
      <c r="B124" s="166" t="s">
        <v>2174</v>
      </c>
      <c r="C124" s="162">
        <v>10.3</v>
      </c>
      <c r="D124" s="162" t="s">
        <v>2122</v>
      </c>
      <c r="E124" s="252"/>
      <c r="F124" s="85">
        <v>2.5</v>
      </c>
      <c r="G124" s="253"/>
      <c r="I124" s="253"/>
      <c r="J124" s="237"/>
      <c r="K124" s="257"/>
    </row>
    <row r="125" spans="1:11" ht="18">
      <c r="A125">
        <v>18</v>
      </c>
      <c r="B125" s="166" t="s">
        <v>2175</v>
      </c>
      <c r="C125" s="162">
        <v>18.899999999999999</v>
      </c>
      <c r="D125" s="162" t="s">
        <v>2122</v>
      </c>
      <c r="E125" s="252"/>
      <c r="F125" s="85">
        <v>2.5</v>
      </c>
      <c r="G125" s="253"/>
      <c r="I125" s="253"/>
      <c r="J125" s="237"/>
      <c r="K125" s="257"/>
    </row>
    <row r="126" spans="1:11" ht="18">
      <c r="A126">
        <v>19</v>
      </c>
      <c r="B126" s="166" t="s">
        <v>2176</v>
      </c>
      <c r="C126" s="162">
        <v>3.9</v>
      </c>
      <c r="D126" s="162" t="s">
        <v>2122</v>
      </c>
      <c r="E126" s="252"/>
      <c r="F126" s="85">
        <v>4</v>
      </c>
      <c r="G126" s="253"/>
      <c r="I126" s="253"/>
      <c r="J126" s="237"/>
      <c r="K126" s="257"/>
    </row>
    <row r="127" spans="1:11" ht="18">
      <c r="A127">
        <v>20</v>
      </c>
      <c r="B127" s="166" t="s">
        <v>2177</v>
      </c>
      <c r="C127" s="162">
        <v>8.3000000000000007</v>
      </c>
      <c r="D127" s="162" t="s">
        <v>2122</v>
      </c>
      <c r="E127" s="252"/>
      <c r="F127" s="85">
        <v>2.5</v>
      </c>
      <c r="G127" s="253"/>
      <c r="I127" s="253"/>
      <c r="J127" s="238"/>
      <c r="K127" s="257"/>
    </row>
    <row r="128" spans="1:11" ht="18">
      <c r="B128" s="166"/>
      <c r="C128" s="162"/>
      <c r="D128" s="162"/>
      <c r="E128" s="183" t="s">
        <v>2196</v>
      </c>
      <c r="F128" s="85" t="s">
        <v>2178</v>
      </c>
    </row>
    <row r="129" spans="2:5" ht="18">
      <c r="B129" s="188"/>
      <c r="C129" s="156"/>
      <c r="D129" s="156"/>
      <c r="E129" s="158"/>
    </row>
    <row r="130" spans="2:5" ht="18">
      <c r="B130" s="188"/>
      <c r="C130" s="156"/>
      <c r="D130" s="156"/>
      <c r="E130" s="158"/>
    </row>
    <row r="131" spans="2:5">
      <c r="B131" s="178"/>
      <c r="D131" s="28"/>
      <c r="E131"/>
    </row>
    <row r="132" spans="2:5">
      <c r="B132" s="178"/>
      <c r="D132" s="28"/>
      <c r="E132"/>
    </row>
    <row r="133" spans="2:5">
      <c r="B133" s="178"/>
      <c r="D133" s="28"/>
      <c r="E133"/>
    </row>
    <row r="134" spans="2:5">
      <c r="B134" s="178"/>
      <c r="D134" s="28"/>
      <c r="E134"/>
    </row>
    <row r="135" spans="2:5">
      <c r="B135" s="178"/>
      <c r="D135" s="20"/>
      <c r="E135"/>
    </row>
    <row r="136" spans="2:5">
      <c r="B136" s="178"/>
      <c r="D136" s="20"/>
      <c r="E136"/>
    </row>
    <row r="137" spans="2:5">
      <c r="B137" s="178"/>
      <c r="D137" s="20"/>
      <c r="E137"/>
    </row>
    <row r="138" spans="2:5">
      <c r="B138" s="178"/>
      <c r="D138" s="20"/>
      <c r="E138"/>
    </row>
    <row r="139" spans="2:5">
      <c r="B139" s="178"/>
      <c r="D139" s="20"/>
      <c r="E139"/>
    </row>
    <row r="140" spans="2:5">
      <c r="B140" s="178"/>
      <c r="D140" s="20"/>
      <c r="E140"/>
    </row>
    <row r="141" spans="2:5">
      <c r="B141" s="178"/>
      <c r="D141" s="20"/>
      <c r="E141"/>
    </row>
    <row r="142" spans="2:5">
      <c r="B142" s="178"/>
      <c r="D142" s="20"/>
      <c r="E142"/>
    </row>
    <row r="143" spans="2:5">
      <c r="B143" s="178"/>
      <c r="D143" s="20"/>
      <c r="E143"/>
    </row>
    <row r="144" spans="2:5">
      <c r="B144" s="178"/>
      <c r="D144" s="20"/>
      <c r="E144"/>
    </row>
    <row r="145" spans="2:2">
      <c r="B145" s="178"/>
    </row>
    <row r="146" spans="2:2">
      <c r="B146" s="178"/>
    </row>
  </sheetData>
  <mergeCells count="49">
    <mergeCell ref="K67:K71"/>
    <mergeCell ref="K78:K82"/>
    <mergeCell ref="K85:K89"/>
    <mergeCell ref="C66:D66"/>
    <mergeCell ref="F67:F70"/>
    <mergeCell ref="J67:J71"/>
    <mergeCell ref="I67:I75"/>
    <mergeCell ref="I78:I82"/>
    <mergeCell ref="I85:I88"/>
    <mergeCell ref="E85:E87"/>
    <mergeCell ref="J78:J82"/>
    <mergeCell ref="J85:J88"/>
    <mergeCell ref="K108:K127"/>
    <mergeCell ref="E5:E7"/>
    <mergeCell ref="E10:E12"/>
    <mergeCell ref="E13:E15"/>
    <mergeCell ref="G2:G7"/>
    <mergeCell ref="E78:E80"/>
    <mergeCell ref="G78:G80"/>
    <mergeCell ref="I19:I34"/>
    <mergeCell ref="I108:I127"/>
    <mergeCell ref="G10:G15"/>
    <mergeCell ref="I2:I16"/>
    <mergeCell ref="I92:I105"/>
    <mergeCell ref="G92:G104"/>
    <mergeCell ref="G19:G33"/>
    <mergeCell ref="G108:G127"/>
    <mergeCell ref="G85:G87"/>
    <mergeCell ref="J92:J105"/>
    <mergeCell ref="J19:J34"/>
    <mergeCell ref="J108:J127"/>
    <mergeCell ref="J38:J44"/>
    <mergeCell ref="J45:J51"/>
    <mergeCell ref="E108:E127"/>
    <mergeCell ref="E92:E93"/>
    <mergeCell ref="E2:E4"/>
    <mergeCell ref="C37:D37"/>
    <mergeCell ref="K52:K61"/>
    <mergeCell ref="K19:K34"/>
    <mergeCell ref="K2:K16"/>
    <mergeCell ref="K92:K105"/>
    <mergeCell ref="J2:J16"/>
    <mergeCell ref="I38:I61"/>
    <mergeCell ref="J52:J56"/>
    <mergeCell ref="J57:J61"/>
    <mergeCell ref="F38:F43"/>
    <mergeCell ref="E94:E104"/>
    <mergeCell ref="E19:E33"/>
    <mergeCell ref="K38:K51"/>
  </mergeCells>
  <phoneticPr fontId="2" type="noConversion"/>
  <pageMargins left="0" right="0" top="0" bottom="0" header="0" footer="0"/>
  <pageSetup paperSize="9" scale="73" fitToHeight="2" orientation="portrait" horizontalDpi="0" verticalDpi="0"/>
  <ignoredErrors>
    <ignoredError sqref="H52:H53 H38:H39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30"/>
  <sheetViews>
    <sheetView topLeftCell="A12" zoomScale="75" zoomScaleNormal="75" zoomScalePageLayoutView="75" workbookViewId="0">
      <selection activeCell="E61" sqref="E61"/>
    </sheetView>
  </sheetViews>
  <sheetFormatPr baseColWidth="10" defaultRowHeight="16"/>
  <cols>
    <col min="1" max="1" width="102.5" bestFit="1" customWidth="1"/>
    <col min="2" max="2" width="10.6640625" customWidth="1"/>
    <col min="3" max="3" width="12" bestFit="1" customWidth="1"/>
    <col min="5" max="5" width="15.1640625" bestFit="1" customWidth="1"/>
    <col min="6" max="6" width="18.5" bestFit="1" customWidth="1"/>
    <col min="7" max="7" width="19.5" bestFit="1" customWidth="1"/>
    <col min="8" max="8" width="44.6640625" bestFit="1" customWidth="1"/>
    <col min="9" max="9" width="45.33203125" bestFit="1" customWidth="1"/>
    <col min="10" max="10" width="21.83203125" bestFit="1" customWidth="1"/>
    <col min="11" max="11" width="88.83203125" bestFit="1" customWidth="1"/>
    <col min="12" max="12" width="45" bestFit="1" customWidth="1"/>
    <col min="18" max="18" width="15.1640625" bestFit="1" customWidth="1"/>
    <col min="21" max="21" width="18.5" customWidth="1"/>
  </cols>
  <sheetData>
    <row r="1" spans="1:19" ht="17">
      <c r="A1" t="s">
        <v>7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L1" s="3" t="s">
        <v>84</v>
      </c>
      <c r="M1" s="3" t="s">
        <v>85</v>
      </c>
      <c r="N1" s="3" t="s">
        <v>86</v>
      </c>
      <c r="O1" s="3" t="s">
        <v>87</v>
      </c>
      <c r="P1" s="3" t="s">
        <v>88</v>
      </c>
      <c r="Q1" s="3" t="s">
        <v>89</v>
      </c>
      <c r="R1" t="s">
        <v>72</v>
      </c>
    </row>
    <row r="2" spans="1:19" ht="17">
      <c r="A2" t="s">
        <v>8</v>
      </c>
      <c r="B2" t="s">
        <v>40</v>
      </c>
      <c r="C2">
        <v>69603953</v>
      </c>
      <c r="D2">
        <v>69604073</v>
      </c>
      <c r="E2" t="s">
        <v>67</v>
      </c>
      <c r="F2">
        <v>6</v>
      </c>
      <c r="G2">
        <v>4</v>
      </c>
      <c r="H2" s="2" t="s">
        <v>68</v>
      </c>
      <c r="I2" s="2" t="s">
        <v>69</v>
      </c>
      <c r="J2" t="s">
        <v>70</v>
      </c>
      <c r="K2" t="s">
        <v>78</v>
      </c>
      <c r="L2" s="2" t="s">
        <v>68</v>
      </c>
      <c r="M2" s="2">
        <v>24</v>
      </c>
      <c r="N2" s="2">
        <v>59.71</v>
      </c>
      <c r="O2" s="2">
        <v>41.67</v>
      </c>
      <c r="P2" s="2">
        <v>3</v>
      </c>
      <c r="Q2" s="2">
        <v>2</v>
      </c>
      <c r="R2" s="2">
        <v>183</v>
      </c>
    </row>
    <row r="3" spans="1:19" ht="17">
      <c r="A3" t="s">
        <v>9</v>
      </c>
      <c r="B3" t="s">
        <v>41</v>
      </c>
      <c r="C3">
        <v>166972822</v>
      </c>
      <c r="D3">
        <v>166972942</v>
      </c>
      <c r="E3" t="s">
        <v>75</v>
      </c>
      <c r="F3">
        <v>4</v>
      </c>
      <c r="G3">
        <v>6</v>
      </c>
      <c r="H3" s="2" t="s">
        <v>73</v>
      </c>
      <c r="I3" s="2" t="s">
        <v>74</v>
      </c>
      <c r="J3" t="s">
        <v>71</v>
      </c>
      <c r="K3" t="s">
        <v>79</v>
      </c>
      <c r="L3" s="2" t="s">
        <v>69</v>
      </c>
      <c r="M3" s="2">
        <v>21</v>
      </c>
      <c r="N3" s="2">
        <v>59.53</v>
      </c>
      <c r="O3" s="2">
        <v>52.38</v>
      </c>
      <c r="P3" s="2">
        <v>6</v>
      </c>
      <c r="Q3" s="2">
        <v>3</v>
      </c>
    </row>
    <row r="4" spans="1:19" ht="17">
      <c r="A4" t="s">
        <v>10</v>
      </c>
      <c r="B4" t="s">
        <v>42</v>
      </c>
      <c r="C4">
        <v>127788942</v>
      </c>
      <c r="D4">
        <v>127789062</v>
      </c>
      <c r="E4" t="s">
        <v>82</v>
      </c>
      <c r="F4">
        <v>6</v>
      </c>
      <c r="G4">
        <v>4</v>
      </c>
      <c r="H4" s="2" t="s">
        <v>95</v>
      </c>
      <c r="I4" s="2" t="s">
        <v>83</v>
      </c>
      <c r="J4" t="s">
        <v>76</v>
      </c>
      <c r="K4" t="s">
        <v>90</v>
      </c>
      <c r="L4" s="2" t="s">
        <v>73</v>
      </c>
      <c r="M4" s="2">
        <v>21</v>
      </c>
      <c r="N4" s="2">
        <v>59.51</v>
      </c>
      <c r="O4" s="2">
        <v>57.14</v>
      </c>
      <c r="P4" s="2">
        <v>3</v>
      </c>
      <c r="Q4" s="2">
        <v>2</v>
      </c>
      <c r="R4" s="2">
        <v>221</v>
      </c>
      <c r="S4" s="2">
        <v>2257</v>
      </c>
    </row>
    <row r="5" spans="1:19" ht="17">
      <c r="A5" t="s">
        <v>11</v>
      </c>
      <c r="B5" t="s">
        <v>43</v>
      </c>
      <c r="C5">
        <v>132787946</v>
      </c>
      <c r="D5">
        <v>132788066</v>
      </c>
      <c r="E5" t="s">
        <v>92</v>
      </c>
      <c r="F5">
        <v>6</v>
      </c>
      <c r="G5">
        <v>4</v>
      </c>
      <c r="H5" s="2" t="s">
        <v>98</v>
      </c>
      <c r="I5" s="2" t="s">
        <v>99</v>
      </c>
      <c r="J5" t="s">
        <v>77</v>
      </c>
      <c r="K5" t="s">
        <v>91</v>
      </c>
      <c r="L5" s="2" t="s">
        <v>74</v>
      </c>
      <c r="M5" s="2">
        <v>24</v>
      </c>
      <c r="N5" s="2">
        <v>57.57</v>
      </c>
      <c r="O5" s="2">
        <v>37.5</v>
      </c>
      <c r="P5" s="2">
        <v>4</v>
      </c>
      <c r="Q5" s="2">
        <v>1</v>
      </c>
    </row>
    <row r="6" spans="1:19" ht="17">
      <c r="A6" t="s">
        <v>12</v>
      </c>
      <c r="B6" t="s">
        <v>44</v>
      </c>
      <c r="C6">
        <v>30147784</v>
      </c>
      <c r="D6">
        <v>30147904</v>
      </c>
      <c r="J6" t="s">
        <v>80</v>
      </c>
      <c r="K6" t="s">
        <v>101</v>
      </c>
      <c r="L6" s="2" t="s">
        <v>95</v>
      </c>
      <c r="M6" s="2">
        <v>24</v>
      </c>
      <c r="N6" s="2">
        <v>58.74</v>
      </c>
      <c r="O6" s="2">
        <v>41.67</v>
      </c>
      <c r="P6" s="2">
        <v>9</v>
      </c>
      <c r="Q6" s="2">
        <v>4</v>
      </c>
      <c r="R6" s="2">
        <v>178</v>
      </c>
    </row>
    <row r="7" spans="1:19" ht="17">
      <c r="A7" t="s">
        <v>13</v>
      </c>
      <c r="B7" t="s">
        <v>45</v>
      </c>
      <c r="C7">
        <v>3116461</v>
      </c>
      <c r="D7">
        <v>3116581</v>
      </c>
      <c r="E7" t="s">
        <v>96</v>
      </c>
      <c r="F7">
        <v>4</v>
      </c>
      <c r="G7">
        <v>6</v>
      </c>
      <c r="H7" s="2" t="s">
        <v>105</v>
      </c>
      <c r="I7" s="2" t="s">
        <v>106</v>
      </c>
      <c r="J7" t="s">
        <v>81</v>
      </c>
      <c r="K7" t="s">
        <v>102</v>
      </c>
      <c r="L7" s="2" t="s">
        <v>83</v>
      </c>
      <c r="M7" s="2">
        <v>22</v>
      </c>
      <c r="N7" s="2">
        <v>60.29</v>
      </c>
      <c r="O7" s="2">
        <v>50</v>
      </c>
      <c r="P7" s="2">
        <v>4</v>
      </c>
      <c r="Q7" s="2">
        <v>2</v>
      </c>
    </row>
    <row r="8" spans="1:19" ht="17">
      <c r="A8" t="s">
        <v>14</v>
      </c>
      <c r="B8" t="s">
        <v>41</v>
      </c>
      <c r="C8">
        <v>141647052</v>
      </c>
      <c r="D8">
        <v>141647172</v>
      </c>
      <c r="E8" t="s">
        <v>97</v>
      </c>
      <c r="F8">
        <v>4</v>
      </c>
      <c r="G8">
        <v>6</v>
      </c>
      <c r="H8" s="2" t="s">
        <v>111</v>
      </c>
      <c r="I8" s="2" t="s">
        <v>112</v>
      </c>
      <c r="J8" t="s">
        <v>93</v>
      </c>
      <c r="K8" t="s">
        <v>107</v>
      </c>
      <c r="L8" s="2" t="s">
        <v>98</v>
      </c>
      <c r="M8" s="2">
        <v>23</v>
      </c>
      <c r="N8" s="2">
        <v>60.63</v>
      </c>
      <c r="O8" s="2">
        <v>43.48</v>
      </c>
      <c r="P8" s="2">
        <v>2</v>
      </c>
      <c r="Q8" s="2">
        <v>0</v>
      </c>
      <c r="R8" s="2">
        <v>182</v>
      </c>
      <c r="S8" s="4" t="s">
        <v>100</v>
      </c>
    </row>
    <row r="9" spans="1:19" ht="17">
      <c r="A9" t="s">
        <v>15</v>
      </c>
      <c r="B9" t="s">
        <v>46</v>
      </c>
      <c r="C9">
        <v>141723768</v>
      </c>
      <c r="D9">
        <v>141723888</v>
      </c>
      <c r="E9" t="s">
        <v>117</v>
      </c>
      <c r="F9">
        <v>4</v>
      </c>
      <c r="G9">
        <v>6</v>
      </c>
      <c r="H9" s="2" t="s">
        <v>120</v>
      </c>
      <c r="I9" s="2" t="s">
        <v>121</v>
      </c>
      <c r="J9" t="s">
        <v>94</v>
      </c>
      <c r="K9" t="s">
        <v>108</v>
      </c>
      <c r="L9" s="2" t="s">
        <v>99</v>
      </c>
      <c r="M9" s="2">
        <v>22</v>
      </c>
      <c r="N9" s="2">
        <v>57.13</v>
      </c>
      <c r="O9" s="2">
        <v>40.909999999999997</v>
      </c>
      <c r="P9" s="2">
        <v>4</v>
      </c>
      <c r="Q9" s="2">
        <v>0</v>
      </c>
    </row>
    <row r="10" spans="1:19" ht="17">
      <c r="A10" t="s">
        <v>16</v>
      </c>
      <c r="B10" t="s">
        <v>43</v>
      </c>
      <c r="C10">
        <v>138041537</v>
      </c>
      <c r="D10">
        <v>138041657</v>
      </c>
      <c r="E10" t="s">
        <v>118</v>
      </c>
      <c r="F10">
        <v>6</v>
      </c>
      <c r="G10">
        <v>4</v>
      </c>
      <c r="H10" s="2" t="s">
        <v>122</v>
      </c>
      <c r="I10" s="2" t="s">
        <v>123</v>
      </c>
      <c r="J10" t="s">
        <v>103</v>
      </c>
      <c r="K10" t="s">
        <v>114</v>
      </c>
      <c r="L10" s="2" t="s">
        <v>105</v>
      </c>
      <c r="M10" s="2">
        <v>20</v>
      </c>
      <c r="N10" s="2">
        <v>62.24</v>
      </c>
      <c r="O10" s="2">
        <v>65</v>
      </c>
      <c r="P10" s="2">
        <v>4</v>
      </c>
      <c r="Q10" s="2">
        <v>2</v>
      </c>
      <c r="R10" s="2">
        <v>218</v>
      </c>
      <c r="S10" s="2">
        <v>3009</v>
      </c>
    </row>
    <row r="11" spans="1:19" ht="17">
      <c r="A11" t="s">
        <v>17</v>
      </c>
      <c r="B11" t="s">
        <v>47</v>
      </c>
      <c r="C11">
        <v>89676454</v>
      </c>
      <c r="D11">
        <v>89676574</v>
      </c>
      <c r="J11" t="s">
        <v>104</v>
      </c>
      <c r="K11" t="s">
        <v>113</v>
      </c>
      <c r="L11" s="2" t="s">
        <v>106</v>
      </c>
      <c r="M11" s="2">
        <v>24</v>
      </c>
      <c r="N11" s="2">
        <v>62.89</v>
      </c>
      <c r="O11" s="2">
        <v>54.17</v>
      </c>
      <c r="P11" s="2">
        <v>6</v>
      </c>
      <c r="Q11" s="2">
        <v>2</v>
      </c>
    </row>
    <row r="12" spans="1:19" ht="17">
      <c r="B12" t="s">
        <v>41</v>
      </c>
      <c r="C12">
        <v>241275124</v>
      </c>
      <c r="D12">
        <v>241275244</v>
      </c>
      <c r="E12" t="s">
        <v>128</v>
      </c>
      <c r="F12">
        <v>4</v>
      </c>
      <c r="G12">
        <v>6</v>
      </c>
      <c r="H12" s="2" t="s">
        <v>134</v>
      </c>
      <c r="I12" s="2" t="s">
        <v>135</v>
      </c>
      <c r="J12" t="s">
        <v>109</v>
      </c>
      <c r="K12" t="s">
        <v>124</v>
      </c>
      <c r="L12" s="2" t="s">
        <v>111</v>
      </c>
      <c r="M12" s="2">
        <v>19</v>
      </c>
      <c r="N12" s="2">
        <v>58.51</v>
      </c>
      <c r="O12" s="2">
        <v>57.89</v>
      </c>
      <c r="P12" s="2">
        <v>2</v>
      </c>
      <c r="Q12" s="2">
        <v>1</v>
      </c>
      <c r="R12" s="2">
        <v>165</v>
      </c>
    </row>
    <row r="13" spans="1:19" ht="17">
      <c r="B13" t="s">
        <v>40</v>
      </c>
      <c r="C13">
        <v>133336375</v>
      </c>
      <c r="D13">
        <v>133336495</v>
      </c>
      <c r="E13" t="s">
        <v>129</v>
      </c>
      <c r="F13">
        <v>4</v>
      </c>
      <c r="G13">
        <v>6</v>
      </c>
      <c r="H13" s="2" t="s">
        <v>143</v>
      </c>
      <c r="I13" s="2" t="s">
        <v>144</v>
      </c>
      <c r="J13" t="s">
        <v>110</v>
      </c>
      <c r="K13" t="s">
        <v>125</v>
      </c>
      <c r="L13" s="2" t="s">
        <v>112</v>
      </c>
      <c r="M13" s="2">
        <v>24</v>
      </c>
      <c r="N13" s="2">
        <v>58.02</v>
      </c>
      <c r="O13" s="2">
        <v>37.5</v>
      </c>
      <c r="P13" s="2">
        <v>4</v>
      </c>
      <c r="Q13" s="2">
        <v>2</v>
      </c>
    </row>
    <row r="14" spans="1:19" ht="17">
      <c r="B14" t="s">
        <v>44</v>
      </c>
      <c r="C14">
        <v>72237690</v>
      </c>
      <c r="D14">
        <v>72237810</v>
      </c>
      <c r="E14" t="s">
        <v>130</v>
      </c>
      <c r="F14">
        <v>4</v>
      </c>
      <c r="G14">
        <v>6</v>
      </c>
      <c r="H14" s="2" t="s">
        <v>146</v>
      </c>
      <c r="I14" s="2" t="s">
        <v>147</v>
      </c>
      <c r="J14" t="s">
        <v>115</v>
      </c>
      <c r="K14" t="s">
        <v>126</v>
      </c>
      <c r="L14" s="2" t="s">
        <v>120</v>
      </c>
      <c r="M14" s="2">
        <v>21</v>
      </c>
      <c r="N14" s="2">
        <v>56.09</v>
      </c>
      <c r="O14" s="2">
        <v>42.86</v>
      </c>
      <c r="P14" s="2">
        <v>4</v>
      </c>
      <c r="Q14" s="2">
        <v>4</v>
      </c>
      <c r="R14" s="2">
        <v>209</v>
      </c>
    </row>
    <row r="15" spans="1:19" ht="17">
      <c r="B15" t="s">
        <v>48</v>
      </c>
      <c r="C15">
        <v>31659347</v>
      </c>
      <c r="D15">
        <v>31659467</v>
      </c>
      <c r="E15" t="s">
        <v>131</v>
      </c>
      <c r="F15">
        <v>4</v>
      </c>
      <c r="G15">
        <v>6</v>
      </c>
      <c r="H15" s="2" t="s">
        <v>151</v>
      </c>
      <c r="I15" s="2" t="s">
        <v>156</v>
      </c>
      <c r="J15" t="s">
        <v>116</v>
      </c>
      <c r="K15" t="s">
        <v>127</v>
      </c>
      <c r="L15" s="2" t="s">
        <v>121</v>
      </c>
      <c r="M15" s="2">
        <v>21</v>
      </c>
      <c r="N15" s="2">
        <v>57.94</v>
      </c>
      <c r="O15" s="2">
        <v>47.62</v>
      </c>
      <c r="P15" s="2">
        <v>5</v>
      </c>
      <c r="Q15" s="2">
        <v>3</v>
      </c>
    </row>
    <row r="16" spans="1:19" ht="17">
      <c r="B16" t="s">
        <v>49</v>
      </c>
      <c r="C16">
        <v>6714933</v>
      </c>
      <c r="D16">
        <v>6715053</v>
      </c>
      <c r="E16" t="s">
        <v>132</v>
      </c>
      <c r="F16">
        <v>6</v>
      </c>
      <c r="G16">
        <v>4</v>
      </c>
      <c r="H16" s="2" t="s">
        <v>159</v>
      </c>
      <c r="I16" s="2" t="s">
        <v>160</v>
      </c>
      <c r="J16" t="s">
        <v>136</v>
      </c>
      <c r="K16" t="s">
        <v>140</v>
      </c>
      <c r="L16" s="2" t="s">
        <v>122</v>
      </c>
      <c r="M16" s="2">
        <v>24</v>
      </c>
      <c r="N16" s="2">
        <v>58.3</v>
      </c>
      <c r="O16" s="2">
        <v>41.67</v>
      </c>
      <c r="P16" s="2">
        <v>3</v>
      </c>
      <c r="Q16" s="2">
        <v>2</v>
      </c>
      <c r="R16" s="2">
        <v>169</v>
      </c>
      <c r="S16" s="2">
        <v>3317</v>
      </c>
    </row>
    <row r="17" spans="1:21" ht="17">
      <c r="B17" t="s">
        <v>43</v>
      </c>
      <c r="C17">
        <v>27338807</v>
      </c>
      <c r="D17">
        <v>27338927</v>
      </c>
      <c r="E17" t="s">
        <v>133</v>
      </c>
      <c r="F17">
        <v>4</v>
      </c>
      <c r="G17">
        <v>6</v>
      </c>
      <c r="H17" s="2" t="s">
        <v>168</v>
      </c>
      <c r="I17" s="2" t="s">
        <v>169</v>
      </c>
      <c r="J17" t="s">
        <v>119</v>
      </c>
      <c r="K17" t="s">
        <v>139</v>
      </c>
      <c r="L17" s="2" t="s">
        <v>123</v>
      </c>
      <c r="M17" s="2">
        <v>20</v>
      </c>
      <c r="N17" s="2">
        <v>58.95</v>
      </c>
      <c r="O17" s="2">
        <v>55</v>
      </c>
      <c r="P17" s="2">
        <v>3</v>
      </c>
      <c r="Q17" s="2">
        <v>2</v>
      </c>
    </row>
    <row r="18" spans="1:21">
      <c r="A18" t="s">
        <v>18</v>
      </c>
      <c r="B18" t="s">
        <v>50</v>
      </c>
      <c r="C18">
        <v>49962877</v>
      </c>
      <c r="D18">
        <v>49962997</v>
      </c>
    </row>
    <row r="19" spans="1:21" ht="17">
      <c r="A19" t="s">
        <v>19</v>
      </c>
      <c r="B19" t="s">
        <v>50</v>
      </c>
      <c r="C19">
        <v>51360007</v>
      </c>
      <c r="D19">
        <v>51360127</v>
      </c>
      <c r="J19" t="s">
        <v>233</v>
      </c>
      <c r="K19" t="s">
        <v>243</v>
      </c>
      <c r="L19" s="2" t="s">
        <v>235</v>
      </c>
      <c r="M19" s="2">
        <v>24</v>
      </c>
      <c r="N19" s="2">
        <v>57.83</v>
      </c>
      <c r="O19" s="2">
        <v>41.67</v>
      </c>
      <c r="P19" s="2">
        <v>5</v>
      </c>
      <c r="Q19" s="2">
        <v>2</v>
      </c>
      <c r="R19" s="2">
        <v>199</v>
      </c>
      <c r="S19" s="2">
        <v>1119</v>
      </c>
      <c r="T19" s="2">
        <v>1162</v>
      </c>
      <c r="U19" s="2">
        <v>1839</v>
      </c>
    </row>
    <row r="20" spans="1:21" ht="17">
      <c r="A20" t="s">
        <v>20</v>
      </c>
      <c r="B20" t="s">
        <v>50</v>
      </c>
      <c r="C20">
        <v>51121948</v>
      </c>
      <c r="D20">
        <v>51122068</v>
      </c>
      <c r="J20" t="s">
        <v>234</v>
      </c>
      <c r="K20" t="s">
        <v>245</v>
      </c>
      <c r="L20" s="2" t="s">
        <v>236</v>
      </c>
      <c r="M20" s="2">
        <v>22</v>
      </c>
      <c r="N20" s="2">
        <v>55.26</v>
      </c>
      <c r="O20" s="2">
        <v>40.909999999999997</v>
      </c>
      <c r="P20" s="2">
        <v>6</v>
      </c>
      <c r="Q20" s="2">
        <v>0</v>
      </c>
    </row>
    <row r="21" spans="1:21">
      <c r="A21" t="s">
        <v>21</v>
      </c>
      <c r="B21" t="s">
        <v>46</v>
      </c>
      <c r="C21">
        <v>59348703</v>
      </c>
      <c r="D21">
        <v>59348823</v>
      </c>
    </row>
    <row r="22" spans="1:21" ht="17">
      <c r="A22" t="s">
        <v>22</v>
      </c>
      <c r="B22" t="s">
        <v>43</v>
      </c>
      <c r="C22">
        <v>43693233</v>
      </c>
      <c r="D22">
        <v>43693353</v>
      </c>
      <c r="J22" t="s">
        <v>172</v>
      </c>
      <c r="K22" t="s">
        <v>192</v>
      </c>
      <c r="L22" s="2" t="s">
        <v>187</v>
      </c>
      <c r="M22" s="2">
        <v>24</v>
      </c>
      <c r="N22" s="2">
        <v>57.34</v>
      </c>
      <c r="O22" s="2">
        <v>37.5</v>
      </c>
      <c r="P22" s="2">
        <v>4</v>
      </c>
      <c r="Q22" s="2">
        <v>1</v>
      </c>
      <c r="R22" s="2">
        <v>187</v>
      </c>
    </row>
    <row r="23" spans="1:21" ht="17">
      <c r="A23" t="s">
        <v>39</v>
      </c>
      <c r="B23" t="s">
        <v>55</v>
      </c>
      <c r="C23">
        <v>229103510</v>
      </c>
      <c r="D23">
        <v>229103630</v>
      </c>
      <c r="E23" t="s">
        <v>232</v>
      </c>
      <c r="F23">
        <v>6</v>
      </c>
      <c r="G23">
        <v>4</v>
      </c>
      <c r="H23" s="2" t="s">
        <v>235</v>
      </c>
      <c r="I23" s="2" t="s">
        <v>236</v>
      </c>
      <c r="J23" t="s">
        <v>173</v>
      </c>
      <c r="K23" t="s">
        <v>191</v>
      </c>
      <c r="L23" s="2" t="s">
        <v>188</v>
      </c>
      <c r="M23" s="2">
        <v>22</v>
      </c>
      <c r="N23" s="2">
        <v>58.46</v>
      </c>
      <c r="O23" s="2">
        <v>50</v>
      </c>
      <c r="P23" s="2">
        <v>5</v>
      </c>
      <c r="Q23" s="2">
        <v>1</v>
      </c>
    </row>
    <row r="24" spans="1:21" ht="17">
      <c r="A24" t="s">
        <v>23</v>
      </c>
      <c r="B24" t="s">
        <v>44</v>
      </c>
      <c r="C24">
        <v>102882450</v>
      </c>
      <c r="D24">
        <v>102882570</v>
      </c>
      <c r="J24" t="s">
        <v>174</v>
      </c>
      <c r="K24" t="s">
        <v>196</v>
      </c>
      <c r="L24" s="2" t="s">
        <v>189</v>
      </c>
      <c r="M24" s="2">
        <v>22</v>
      </c>
      <c r="N24" s="2">
        <v>57.68</v>
      </c>
      <c r="O24" s="2">
        <v>45.45</v>
      </c>
      <c r="P24" s="2">
        <v>4</v>
      </c>
      <c r="Q24" s="2">
        <v>0</v>
      </c>
      <c r="R24" s="2">
        <v>234</v>
      </c>
    </row>
    <row r="25" spans="1:21" ht="17">
      <c r="A25" t="s">
        <v>24</v>
      </c>
      <c r="B25" t="s">
        <v>51</v>
      </c>
      <c r="C25">
        <v>65382192</v>
      </c>
      <c r="D25">
        <v>65382312</v>
      </c>
      <c r="J25" t="s">
        <v>175</v>
      </c>
      <c r="K25" t="s">
        <v>195</v>
      </c>
      <c r="L25" s="2" t="s">
        <v>190</v>
      </c>
      <c r="M25" s="2">
        <v>24</v>
      </c>
      <c r="N25" s="2">
        <v>56.33</v>
      </c>
      <c r="O25" s="2">
        <v>37.5</v>
      </c>
      <c r="P25" s="2">
        <v>6</v>
      </c>
      <c r="Q25" s="2">
        <v>2</v>
      </c>
    </row>
    <row r="26" spans="1:21" ht="17">
      <c r="A26" t="s">
        <v>25</v>
      </c>
      <c r="B26" t="s">
        <v>51</v>
      </c>
      <c r="C26">
        <v>70768597</v>
      </c>
      <c r="D26">
        <v>70768717</v>
      </c>
      <c r="E26" t="s">
        <v>170</v>
      </c>
      <c r="F26">
        <v>6</v>
      </c>
      <c r="G26">
        <v>4</v>
      </c>
      <c r="H26" s="2" t="s">
        <v>187</v>
      </c>
      <c r="I26" s="2" t="s">
        <v>188</v>
      </c>
      <c r="J26" t="s">
        <v>176</v>
      </c>
      <c r="K26" t="s">
        <v>200</v>
      </c>
      <c r="L26" s="2" t="s">
        <v>193</v>
      </c>
      <c r="M26" s="2">
        <v>24</v>
      </c>
      <c r="N26" s="2">
        <v>59.42</v>
      </c>
      <c r="O26" s="2">
        <v>37.5</v>
      </c>
      <c r="P26" s="2">
        <v>2</v>
      </c>
      <c r="Q26" s="2">
        <v>1</v>
      </c>
      <c r="R26" s="2">
        <v>226</v>
      </c>
      <c r="S26" s="2">
        <v>1960</v>
      </c>
      <c r="T26" s="2">
        <v>3675</v>
      </c>
    </row>
    <row r="27" spans="1:21" ht="17">
      <c r="A27" t="s">
        <v>26</v>
      </c>
      <c r="B27" t="s">
        <v>52</v>
      </c>
      <c r="C27">
        <v>48462846</v>
      </c>
      <c r="D27">
        <v>48462966</v>
      </c>
      <c r="E27" t="s">
        <v>183</v>
      </c>
      <c r="F27">
        <v>4</v>
      </c>
      <c r="G27">
        <v>6</v>
      </c>
      <c r="H27" s="2" t="s">
        <v>189</v>
      </c>
      <c r="I27" s="2" t="s">
        <v>190</v>
      </c>
      <c r="J27" t="s">
        <v>177</v>
      </c>
      <c r="K27" t="s">
        <v>199</v>
      </c>
      <c r="L27" s="2" t="s">
        <v>194</v>
      </c>
      <c r="M27" s="2">
        <v>21</v>
      </c>
      <c r="N27" s="2">
        <v>59.72</v>
      </c>
      <c r="O27" s="2">
        <v>52.38</v>
      </c>
      <c r="P27" s="2">
        <v>2</v>
      </c>
      <c r="Q27" s="2">
        <v>2</v>
      </c>
    </row>
    <row r="28" spans="1:21" ht="17">
      <c r="A28" t="s">
        <v>27</v>
      </c>
      <c r="B28" t="s">
        <v>53</v>
      </c>
      <c r="C28">
        <v>18821535</v>
      </c>
      <c r="D28">
        <v>18821655</v>
      </c>
      <c r="J28" t="s">
        <v>178</v>
      </c>
      <c r="K28" t="s">
        <v>203</v>
      </c>
      <c r="L28" s="2" t="s">
        <v>197</v>
      </c>
      <c r="M28" s="2">
        <v>22</v>
      </c>
      <c r="N28" s="2">
        <v>59.89</v>
      </c>
      <c r="O28" s="2">
        <v>45.45</v>
      </c>
      <c r="P28" s="2">
        <v>2</v>
      </c>
      <c r="Q28" s="2">
        <v>0</v>
      </c>
      <c r="R28" s="2">
        <v>188</v>
      </c>
      <c r="S28" s="2">
        <v>1955</v>
      </c>
      <c r="T28" s="2">
        <v>1803</v>
      </c>
    </row>
    <row r="29" spans="1:21" ht="17">
      <c r="A29" t="s">
        <v>28</v>
      </c>
      <c r="B29" t="s">
        <v>41</v>
      </c>
      <c r="C29">
        <v>69941214</v>
      </c>
      <c r="D29">
        <v>69941334</v>
      </c>
      <c r="E29" t="s">
        <v>184</v>
      </c>
      <c r="F29">
        <v>6</v>
      </c>
      <c r="G29">
        <v>4</v>
      </c>
      <c r="H29" s="2" t="s">
        <v>193</v>
      </c>
      <c r="I29" s="2" t="s">
        <v>194</v>
      </c>
      <c r="J29" t="s">
        <v>179</v>
      </c>
      <c r="K29" t="s">
        <v>204</v>
      </c>
      <c r="L29" s="2" t="s">
        <v>198</v>
      </c>
      <c r="M29" s="2">
        <v>24</v>
      </c>
      <c r="N29" s="2">
        <v>59.36</v>
      </c>
      <c r="O29" s="2">
        <v>41.67</v>
      </c>
      <c r="P29" s="2">
        <v>6</v>
      </c>
      <c r="Q29" s="2">
        <v>2</v>
      </c>
    </row>
    <row r="30" spans="1:21" ht="17">
      <c r="A30" t="s">
        <v>29</v>
      </c>
      <c r="B30" t="s">
        <v>54</v>
      </c>
      <c r="C30">
        <v>31407504</v>
      </c>
      <c r="D30">
        <v>31407624</v>
      </c>
      <c r="E30" t="s">
        <v>185</v>
      </c>
      <c r="F30">
        <v>4</v>
      </c>
      <c r="G30">
        <v>6</v>
      </c>
      <c r="H30" s="2" t="s">
        <v>197</v>
      </c>
      <c r="I30" s="2" t="s">
        <v>198</v>
      </c>
      <c r="J30" t="s">
        <v>208</v>
      </c>
      <c r="K30" t="s">
        <v>210</v>
      </c>
      <c r="L30" s="2" t="s">
        <v>201</v>
      </c>
      <c r="M30" s="2">
        <v>22</v>
      </c>
      <c r="N30" s="2">
        <v>54.45</v>
      </c>
      <c r="O30" s="2">
        <v>36.36</v>
      </c>
      <c r="P30" s="2">
        <v>7</v>
      </c>
      <c r="Q30" s="2">
        <v>3</v>
      </c>
      <c r="R30" s="2">
        <v>166</v>
      </c>
      <c r="S30" s="2">
        <v>1115</v>
      </c>
      <c r="T30" s="2">
        <v>1115</v>
      </c>
    </row>
    <row r="31" spans="1:21" ht="16" customHeight="1">
      <c r="A31" t="s">
        <v>30</v>
      </c>
      <c r="B31" t="s">
        <v>50</v>
      </c>
      <c r="C31">
        <v>161195530</v>
      </c>
      <c r="D31">
        <v>161195650</v>
      </c>
      <c r="E31" t="s">
        <v>186</v>
      </c>
      <c r="F31">
        <v>4</v>
      </c>
      <c r="G31">
        <v>6</v>
      </c>
      <c r="H31" s="2" t="s">
        <v>201</v>
      </c>
      <c r="I31" s="2" t="s">
        <v>202</v>
      </c>
      <c r="J31" t="s">
        <v>180</v>
      </c>
      <c r="K31" t="s">
        <v>211</v>
      </c>
      <c r="L31" s="2" t="s">
        <v>202</v>
      </c>
      <c r="M31" s="2">
        <v>23</v>
      </c>
      <c r="N31" s="2">
        <v>57.37</v>
      </c>
      <c r="O31" s="2">
        <v>39.130000000000003</v>
      </c>
      <c r="P31" s="2">
        <v>2</v>
      </c>
      <c r="Q31" s="2">
        <v>0</v>
      </c>
    </row>
    <row r="32" spans="1:21" ht="16" customHeight="1">
      <c r="A32" t="s">
        <v>31</v>
      </c>
      <c r="B32" t="s">
        <v>47</v>
      </c>
      <c r="C32">
        <v>101141294</v>
      </c>
      <c r="D32">
        <v>101141414</v>
      </c>
    </row>
    <row r="33" spans="1:21" ht="16" customHeight="1">
      <c r="A33" t="s">
        <v>32</v>
      </c>
      <c r="B33" t="s">
        <v>55</v>
      </c>
      <c r="C33">
        <v>231775670</v>
      </c>
      <c r="D33">
        <v>231775790</v>
      </c>
      <c r="E33" t="s">
        <v>207</v>
      </c>
      <c r="F33">
        <v>4</v>
      </c>
      <c r="G33">
        <v>6</v>
      </c>
      <c r="H33" s="2" t="s">
        <v>205</v>
      </c>
      <c r="I33" s="2" t="s">
        <v>206</v>
      </c>
      <c r="J33" t="s">
        <v>248</v>
      </c>
      <c r="K33" t="s">
        <v>212</v>
      </c>
      <c r="L33" s="2" t="s">
        <v>205</v>
      </c>
      <c r="M33" s="2">
        <v>22</v>
      </c>
      <c r="N33" s="2">
        <v>57.49</v>
      </c>
      <c r="O33" s="2">
        <v>45.45</v>
      </c>
      <c r="P33" s="2">
        <v>4</v>
      </c>
      <c r="Q33" s="2">
        <v>1</v>
      </c>
      <c r="R33" s="2">
        <v>199</v>
      </c>
    </row>
    <row r="34" spans="1:21" ht="16" customHeight="1">
      <c r="A34" t="s">
        <v>246</v>
      </c>
      <c r="B34" t="s">
        <v>58</v>
      </c>
      <c r="C34">
        <v>48066976</v>
      </c>
      <c r="D34">
        <v>48067096</v>
      </c>
      <c r="E34" t="s">
        <v>247</v>
      </c>
      <c r="F34">
        <v>6</v>
      </c>
      <c r="G34">
        <v>4</v>
      </c>
      <c r="H34" s="2" t="s">
        <v>251</v>
      </c>
      <c r="I34" s="2" t="s">
        <v>252</v>
      </c>
      <c r="J34" t="s">
        <v>209</v>
      </c>
      <c r="K34" t="s">
        <v>253</v>
      </c>
      <c r="L34" s="2" t="s">
        <v>206</v>
      </c>
      <c r="M34" s="2">
        <v>22</v>
      </c>
      <c r="N34" s="2">
        <v>57.17</v>
      </c>
      <c r="O34" s="2">
        <v>45.45</v>
      </c>
      <c r="P34" s="2">
        <v>5</v>
      </c>
      <c r="Q34" s="2">
        <v>2</v>
      </c>
    </row>
    <row r="35" spans="1:21" ht="16" customHeight="1">
      <c r="B35" t="s">
        <v>51</v>
      </c>
      <c r="C35">
        <v>67492232</v>
      </c>
      <c r="D35">
        <v>67492352</v>
      </c>
    </row>
    <row r="36" spans="1:21" ht="16" customHeight="1">
      <c r="B36" t="s">
        <v>51</v>
      </c>
      <c r="C36">
        <v>72349813</v>
      </c>
      <c r="D36">
        <v>72349933</v>
      </c>
      <c r="E36" t="s">
        <v>464</v>
      </c>
      <c r="F36">
        <v>6</v>
      </c>
      <c r="G36">
        <v>4</v>
      </c>
      <c r="H36" s="2" t="s">
        <v>465</v>
      </c>
      <c r="I36" s="2" t="s">
        <v>466</v>
      </c>
      <c r="J36" t="s">
        <v>249</v>
      </c>
      <c r="K36" t="s">
        <v>473</v>
      </c>
      <c r="L36" s="2" t="s">
        <v>251</v>
      </c>
      <c r="M36" s="2">
        <v>23</v>
      </c>
      <c r="N36" s="2">
        <v>60.06</v>
      </c>
      <c r="O36" s="2">
        <v>43.48</v>
      </c>
      <c r="P36" s="2">
        <v>7</v>
      </c>
      <c r="Q36" s="2">
        <v>3</v>
      </c>
      <c r="R36" s="2">
        <v>206</v>
      </c>
    </row>
    <row r="37" spans="1:21" ht="16" customHeight="1">
      <c r="B37" t="s">
        <v>45</v>
      </c>
      <c r="C37">
        <v>34175154</v>
      </c>
      <c r="D37">
        <v>34175274</v>
      </c>
      <c r="J37" t="s">
        <v>250</v>
      </c>
      <c r="K37" t="s">
        <v>474</v>
      </c>
      <c r="L37" s="2" t="s">
        <v>252</v>
      </c>
      <c r="M37" s="2">
        <v>21</v>
      </c>
      <c r="N37" s="2">
        <v>59.45</v>
      </c>
      <c r="O37" s="2">
        <v>52.38</v>
      </c>
      <c r="P37" s="2">
        <v>5</v>
      </c>
      <c r="Q37" s="2">
        <v>3</v>
      </c>
    </row>
    <row r="38" spans="1:21" ht="16" customHeight="1">
      <c r="B38" t="s">
        <v>45</v>
      </c>
      <c r="C38">
        <v>49925093</v>
      </c>
      <c r="D38">
        <v>49925213</v>
      </c>
    </row>
    <row r="39" spans="1:21" ht="16" customHeight="1">
      <c r="B39" t="s">
        <v>45</v>
      </c>
      <c r="C39">
        <v>69732982</v>
      </c>
      <c r="D39">
        <v>69733102</v>
      </c>
      <c r="J39" t="s">
        <v>219</v>
      </c>
      <c r="K39" t="s">
        <v>475</v>
      </c>
      <c r="L39" s="2" t="s">
        <v>465</v>
      </c>
      <c r="M39" s="2">
        <v>24</v>
      </c>
      <c r="N39" s="2">
        <v>59.9</v>
      </c>
      <c r="O39" s="2">
        <v>41.67</v>
      </c>
      <c r="P39" s="2">
        <v>4</v>
      </c>
      <c r="Q39" s="2">
        <v>2</v>
      </c>
      <c r="R39" s="2">
        <v>162</v>
      </c>
    </row>
    <row r="40" spans="1:21" ht="16" customHeight="1">
      <c r="B40" t="s">
        <v>56</v>
      </c>
      <c r="C40">
        <v>143574996</v>
      </c>
      <c r="D40">
        <v>143575116</v>
      </c>
      <c r="E40" t="s">
        <v>216</v>
      </c>
      <c r="F40">
        <v>4</v>
      </c>
      <c r="G40">
        <v>6</v>
      </c>
      <c r="H40" s="2" t="s">
        <v>467</v>
      </c>
      <c r="I40" s="2" t="s">
        <v>468</v>
      </c>
      <c r="J40" t="s">
        <v>220</v>
      </c>
      <c r="K40" t="s">
        <v>476</v>
      </c>
      <c r="L40" s="2" t="s">
        <v>466</v>
      </c>
      <c r="M40" s="2">
        <v>21</v>
      </c>
      <c r="N40" s="2">
        <v>59.1</v>
      </c>
      <c r="O40" s="2">
        <v>52.38</v>
      </c>
      <c r="P40" s="2">
        <v>3</v>
      </c>
      <c r="Q40" s="2">
        <v>3</v>
      </c>
    </row>
    <row r="41" spans="1:21" ht="16" customHeight="1">
      <c r="B41" t="s">
        <v>43</v>
      </c>
      <c r="C41">
        <v>79211470</v>
      </c>
      <c r="D41">
        <v>79211590</v>
      </c>
      <c r="E41" t="s">
        <v>217</v>
      </c>
      <c r="F41">
        <v>4</v>
      </c>
      <c r="G41">
        <v>6</v>
      </c>
      <c r="H41" s="2" t="s">
        <v>469</v>
      </c>
      <c r="I41" s="2" t="s">
        <v>470</v>
      </c>
      <c r="J41" t="s">
        <v>223</v>
      </c>
      <c r="K41" t="s">
        <v>477</v>
      </c>
      <c r="L41" s="2" t="s">
        <v>467</v>
      </c>
      <c r="M41" s="2">
        <v>22</v>
      </c>
      <c r="N41" s="2">
        <v>58.43</v>
      </c>
      <c r="O41" s="2">
        <v>40.909999999999997</v>
      </c>
      <c r="P41" s="2">
        <v>6</v>
      </c>
      <c r="Q41" s="19">
        <v>6</v>
      </c>
      <c r="R41" s="2">
        <v>193</v>
      </c>
      <c r="S41" s="2">
        <v>3517</v>
      </c>
      <c r="T41" s="2">
        <v>2687</v>
      </c>
      <c r="U41" s="2">
        <v>1695</v>
      </c>
    </row>
    <row r="42" spans="1:21" ht="16" customHeight="1">
      <c r="B42" t="s">
        <v>53</v>
      </c>
      <c r="C42">
        <v>3955363</v>
      </c>
      <c r="D42">
        <v>3955483</v>
      </c>
      <c r="E42" t="s">
        <v>218</v>
      </c>
      <c r="F42">
        <v>4</v>
      </c>
      <c r="G42">
        <v>6</v>
      </c>
      <c r="H42" s="2" t="s">
        <v>471</v>
      </c>
      <c r="I42" s="2" t="s">
        <v>472</v>
      </c>
      <c r="J42" t="s">
        <v>224</v>
      </c>
      <c r="K42" t="s">
        <v>478</v>
      </c>
      <c r="L42" s="2" t="s">
        <v>468</v>
      </c>
      <c r="M42" s="2">
        <v>24</v>
      </c>
      <c r="N42" s="2">
        <v>60.08</v>
      </c>
      <c r="O42" s="2">
        <v>37.5</v>
      </c>
      <c r="P42" s="2">
        <v>6</v>
      </c>
      <c r="Q42" s="2">
        <v>0</v>
      </c>
    </row>
    <row r="43" spans="1:21" ht="16" customHeight="1">
      <c r="B43" t="s">
        <v>55</v>
      </c>
      <c r="C43">
        <v>58079365</v>
      </c>
      <c r="D43">
        <v>58079485</v>
      </c>
      <c r="J43" t="s">
        <v>225</v>
      </c>
      <c r="K43" t="s">
        <v>479</v>
      </c>
      <c r="L43" s="2" t="s">
        <v>469</v>
      </c>
      <c r="M43" s="2">
        <v>22</v>
      </c>
      <c r="N43" s="2">
        <v>59.76</v>
      </c>
      <c r="O43" s="2">
        <v>45.45</v>
      </c>
      <c r="P43" s="2">
        <v>4</v>
      </c>
      <c r="Q43" s="2">
        <v>2</v>
      </c>
      <c r="R43" s="2">
        <v>213</v>
      </c>
    </row>
    <row r="44" spans="1:21" ht="16" customHeight="1">
      <c r="B44" t="s">
        <v>41</v>
      </c>
      <c r="C44">
        <v>135032459</v>
      </c>
      <c r="D44">
        <v>135032579</v>
      </c>
      <c r="J44" t="s">
        <v>226</v>
      </c>
      <c r="K44" t="s">
        <v>480</v>
      </c>
      <c r="L44" s="2" t="s">
        <v>470</v>
      </c>
      <c r="M44" s="2">
        <v>22</v>
      </c>
      <c r="N44" s="2">
        <v>60.03</v>
      </c>
      <c r="O44" s="2">
        <v>50</v>
      </c>
      <c r="P44" s="2">
        <v>4</v>
      </c>
      <c r="Q44" s="2">
        <v>2</v>
      </c>
    </row>
    <row r="45" spans="1:21" ht="16" customHeight="1">
      <c r="A45" t="s">
        <v>569</v>
      </c>
      <c r="B45" t="s">
        <v>57</v>
      </c>
      <c r="C45">
        <v>70699161</v>
      </c>
      <c r="D45">
        <v>70699281</v>
      </c>
      <c r="J45" t="s">
        <v>580</v>
      </c>
      <c r="K45" t="s">
        <v>596</v>
      </c>
      <c r="L45" s="2" t="s">
        <v>471</v>
      </c>
      <c r="M45" s="2">
        <v>22</v>
      </c>
      <c r="N45" s="2">
        <v>61.02</v>
      </c>
      <c r="O45" s="2">
        <v>50</v>
      </c>
      <c r="P45" s="2">
        <v>6</v>
      </c>
      <c r="Q45" s="2">
        <v>0</v>
      </c>
      <c r="R45" s="2">
        <v>202</v>
      </c>
    </row>
    <row r="46" spans="1:21" ht="16" customHeight="1">
      <c r="A46" t="s">
        <v>570</v>
      </c>
      <c r="B46" t="s">
        <v>55</v>
      </c>
      <c r="C46">
        <v>225530043</v>
      </c>
      <c r="D46">
        <v>225530163</v>
      </c>
      <c r="J46" t="s">
        <v>227</v>
      </c>
      <c r="K46" t="s">
        <v>597</v>
      </c>
      <c r="L46" s="2" t="s">
        <v>472</v>
      </c>
      <c r="M46" s="2">
        <v>24</v>
      </c>
      <c r="N46" s="2">
        <v>60.62</v>
      </c>
      <c r="O46" s="2">
        <v>41.67</v>
      </c>
      <c r="P46" s="2">
        <v>4</v>
      </c>
      <c r="Q46" s="2">
        <v>1</v>
      </c>
    </row>
    <row r="47" spans="1:21" ht="16" customHeight="1">
      <c r="A47" t="s">
        <v>571</v>
      </c>
      <c r="B47" t="s">
        <v>55</v>
      </c>
      <c r="C47">
        <v>243863435</v>
      </c>
      <c r="D47">
        <v>243863555</v>
      </c>
    </row>
    <row r="48" spans="1:21" ht="16" customHeight="1">
      <c r="A48" t="s">
        <v>572</v>
      </c>
      <c r="B48" t="s">
        <v>46</v>
      </c>
      <c r="C48">
        <v>136931816</v>
      </c>
      <c r="D48">
        <v>136931936</v>
      </c>
      <c r="J48" t="s">
        <v>581</v>
      </c>
      <c r="K48" t="s">
        <v>598</v>
      </c>
      <c r="L48" s="2" t="s">
        <v>583</v>
      </c>
      <c r="M48" s="2">
        <v>22</v>
      </c>
      <c r="N48" s="2">
        <v>58.53</v>
      </c>
      <c r="O48" s="2">
        <v>40.909999999999997</v>
      </c>
      <c r="P48" s="2">
        <v>3</v>
      </c>
      <c r="Q48" s="2">
        <v>1</v>
      </c>
      <c r="R48" s="2">
        <v>187</v>
      </c>
    </row>
    <row r="49" spans="1:21" ht="16" customHeight="1">
      <c r="A49" t="s">
        <v>573</v>
      </c>
      <c r="B49" t="s">
        <v>42</v>
      </c>
      <c r="C49">
        <v>80438817</v>
      </c>
      <c r="D49">
        <v>80438937</v>
      </c>
      <c r="J49" t="s">
        <v>582</v>
      </c>
      <c r="K49" t="s">
        <v>599</v>
      </c>
      <c r="L49" s="2" t="s">
        <v>584</v>
      </c>
      <c r="M49" s="2">
        <v>24</v>
      </c>
      <c r="N49" s="2">
        <v>57.24</v>
      </c>
      <c r="O49" s="2">
        <v>37.5</v>
      </c>
      <c r="P49" s="2">
        <v>7</v>
      </c>
      <c r="Q49" s="19">
        <v>5</v>
      </c>
    </row>
    <row r="50" spans="1:21" ht="16" customHeight="1">
      <c r="A50" t="s">
        <v>574</v>
      </c>
      <c r="B50" t="s">
        <v>55</v>
      </c>
      <c r="C50">
        <v>100055081</v>
      </c>
      <c r="D50">
        <v>100055201</v>
      </c>
      <c r="E50" t="s">
        <v>579</v>
      </c>
      <c r="F50">
        <v>4</v>
      </c>
      <c r="G50">
        <v>6</v>
      </c>
      <c r="H50" s="2" t="s">
        <v>583</v>
      </c>
      <c r="I50" s="2" t="s">
        <v>584</v>
      </c>
      <c r="J50" t="s">
        <v>593</v>
      </c>
      <c r="K50" t="s">
        <v>681</v>
      </c>
      <c r="L50" s="2" t="s">
        <v>591</v>
      </c>
      <c r="M50" s="2">
        <v>20</v>
      </c>
      <c r="N50" s="2">
        <v>59.47</v>
      </c>
      <c r="O50" s="2">
        <v>60</v>
      </c>
      <c r="P50" s="2">
        <v>6</v>
      </c>
      <c r="Q50" s="2">
        <v>1</v>
      </c>
      <c r="R50" s="2">
        <v>217</v>
      </c>
    </row>
    <row r="51" spans="1:21" ht="16" customHeight="1">
      <c r="A51" t="s">
        <v>575</v>
      </c>
      <c r="B51" t="s">
        <v>41</v>
      </c>
      <c r="C51">
        <v>207246522</v>
      </c>
      <c r="D51">
        <v>207246642</v>
      </c>
      <c r="J51" t="s">
        <v>594</v>
      </c>
      <c r="K51" t="s">
        <v>600</v>
      </c>
      <c r="L51" s="2" t="s">
        <v>592</v>
      </c>
      <c r="M51" s="2">
        <v>24</v>
      </c>
      <c r="N51" s="2">
        <v>59.84</v>
      </c>
      <c r="O51" s="2">
        <v>50</v>
      </c>
      <c r="P51" s="2">
        <v>6</v>
      </c>
      <c r="Q51" s="2">
        <v>4</v>
      </c>
    </row>
    <row r="52" spans="1:21" ht="16" customHeight="1">
      <c r="A52" t="s">
        <v>576</v>
      </c>
      <c r="B52" t="s">
        <v>41</v>
      </c>
      <c r="C52">
        <v>24714951</v>
      </c>
      <c r="D52">
        <v>24715071</v>
      </c>
    </row>
    <row r="53" spans="1:21" ht="16" customHeight="1">
      <c r="A53" t="s">
        <v>577</v>
      </c>
      <c r="B53" t="s">
        <v>54</v>
      </c>
      <c r="C53">
        <v>112958449</v>
      </c>
      <c r="D53">
        <v>112958569</v>
      </c>
      <c r="J53" t="s">
        <v>671</v>
      </c>
      <c r="K53" t="s">
        <v>682</v>
      </c>
      <c r="L53" s="2" t="s">
        <v>669</v>
      </c>
      <c r="M53" s="2">
        <v>23</v>
      </c>
      <c r="N53" s="2">
        <v>59.17</v>
      </c>
      <c r="O53" s="2">
        <v>39.130000000000003</v>
      </c>
      <c r="P53" s="2">
        <v>4</v>
      </c>
      <c r="Q53" s="2">
        <v>2</v>
      </c>
      <c r="R53" s="2">
        <v>222</v>
      </c>
      <c r="U53" s="54" t="s">
        <v>799</v>
      </c>
    </row>
    <row r="54" spans="1:21" ht="16" customHeight="1">
      <c r="A54" t="s">
        <v>578</v>
      </c>
      <c r="B54" t="s">
        <v>54</v>
      </c>
      <c r="C54">
        <v>43426298</v>
      </c>
      <c r="D54">
        <v>43426418</v>
      </c>
      <c r="E54" t="s">
        <v>595</v>
      </c>
      <c r="F54">
        <v>4</v>
      </c>
      <c r="G54">
        <v>6</v>
      </c>
      <c r="H54" s="2" t="s">
        <v>591</v>
      </c>
      <c r="I54" s="2" t="s">
        <v>592</v>
      </c>
      <c r="J54" t="s">
        <v>672</v>
      </c>
      <c r="K54" t="s">
        <v>683</v>
      </c>
      <c r="L54" s="2" t="s">
        <v>670</v>
      </c>
      <c r="M54" s="2">
        <v>22</v>
      </c>
      <c r="N54" s="2">
        <v>58.66</v>
      </c>
      <c r="O54" s="2">
        <v>50</v>
      </c>
      <c r="P54" s="2">
        <v>3</v>
      </c>
      <c r="Q54" s="2">
        <v>2</v>
      </c>
      <c r="U54" s="54"/>
    </row>
    <row r="55" spans="1:21" ht="16" customHeight="1">
      <c r="J55" t="s">
        <v>673</v>
      </c>
      <c r="K55" t="s">
        <v>684</v>
      </c>
      <c r="L55" s="2" t="s">
        <v>677</v>
      </c>
      <c r="M55" s="2">
        <v>22</v>
      </c>
      <c r="N55" s="2">
        <v>59.44</v>
      </c>
      <c r="O55" s="2">
        <v>50</v>
      </c>
      <c r="P55" s="2">
        <v>3</v>
      </c>
      <c r="Q55" s="2">
        <v>2</v>
      </c>
      <c r="R55" s="2">
        <v>210</v>
      </c>
      <c r="S55" s="2">
        <v>2382</v>
      </c>
      <c r="T55" s="2">
        <v>3587</v>
      </c>
      <c r="U55" s="54" t="s">
        <v>798</v>
      </c>
    </row>
    <row r="56" spans="1:21" ht="16" customHeight="1">
      <c r="J56" t="s">
        <v>674</v>
      </c>
      <c r="K56" t="s">
        <v>685</v>
      </c>
      <c r="L56" s="2" t="s">
        <v>678</v>
      </c>
      <c r="M56" s="2">
        <v>22</v>
      </c>
      <c r="N56" s="2">
        <v>59.15</v>
      </c>
      <c r="O56" s="2">
        <v>45.45</v>
      </c>
      <c r="P56" s="2">
        <v>4</v>
      </c>
      <c r="Q56" s="2">
        <v>0</v>
      </c>
      <c r="U56" s="54"/>
    </row>
    <row r="57" spans="1:21" ht="16" customHeight="1">
      <c r="J57" t="s">
        <v>675</v>
      </c>
      <c r="K57" t="s">
        <v>686</v>
      </c>
      <c r="L57" s="2" t="s">
        <v>680</v>
      </c>
      <c r="M57" s="2">
        <v>22</v>
      </c>
      <c r="N57" s="2">
        <v>60.68</v>
      </c>
      <c r="O57" s="2">
        <v>50</v>
      </c>
      <c r="P57" s="2">
        <v>6</v>
      </c>
      <c r="Q57" s="2">
        <v>2</v>
      </c>
      <c r="R57" s="2">
        <v>197</v>
      </c>
      <c r="U57" s="54" t="s">
        <v>798</v>
      </c>
    </row>
    <row r="58" spans="1:21" ht="16" customHeight="1">
      <c r="J58" t="s">
        <v>676</v>
      </c>
      <c r="K58" t="s">
        <v>687</v>
      </c>
      <c r="L58" s="2" t="s">
        <v>679</v>
      </c>
      <c r="M58" s="2">
        <v>23</v>
      </c>
      <c r="N58" s="2">
        <v>60.31</v>
      </c>
      <c r="O58" s="2">
        <v>43.48</v>
      </c>
      <c r="P58" s="2">
        <v>4</v>
      </c>
      <c r="Q58" s="2">
        <v>3</v>
      </c>
      <c r="U58" s="54"/>
    </row>
    <row r="59" spans="1:21" ht="16" customHeight="1">
      <c r="A59" t="s">
        <v>661</v>
      </c>
      <c r="B59" t="s">
        <v>43</v>
      </c>
      <c r="C59">
        <v>138041507</v>
      </c>
      <c r="D59">
        <v>138041627</v>
      </c>
      <c r="E59" t="s">
        <v>118</v>
      </c>
    </row>
    <row r="60" spans="1:21" ht="16" customHeight="1">
      <c r="A60" t="s">
        <v>662</v>
      </c>
      <c r="B60" t="s">
        <v>41</v>
      </c>
      <c r="C60">
        <v>11799392</v>
      </c>
      <c r="D60">
        <v>11799512</v>
      </c>
      <c r="E60" t="s">
        <v>666</v>
      </c>
      <c r="F60">
        <v>6</v>
      </c>
      <c r="G60">
        <v>4</v>
      </c>
      <c r="H60" s="2" t="s">
        <v>669</v>
      </c>
      <c r="I60" s="2" t="s">
        <v>670</v>
      </c>
    </row>
    <row r="61" spans="1:21" ht="16" customHeight="1">
      <c r="A61" t="s">
        <v>663</v>
      </c>
      <c r="B61" t="s">
        <v>664</v>
      </c>
      <c r="C61">
        <v>71742625</v>
      </c>
      <c r="D61">
        <v>71742745</v>
      </c>
      <c r="E61" t="s">
        <v>667</v>
      </c>
      <c r="F61">
        <v>4</v>
      </c>
      <c r="G61">
        <v>6</v>
      </c>
      <c r="H61" s="2" t="s">
        <v>677</v>
      </c>
      <c r="I61" s="2" t="s">
        <v>678</v>
      </c>
    </row>
    <row r="62" spans="1:21" ht="16" customHeight="1">
      <c r="A62" t="s">
        <v>665</v>
      </c>
      <c r="B62" t="s">
        <v>54</v>
      </c>
      <c r="C62">
        <v>145339520</v>
      </c>
      <c r="D62">
        <v>145339640</v>
      </c>
      <c r="E62" t="s">
        <v>668</v>
      </c>
      <c r="F62">
        <v>4</v>
      </c>
      <c r="G62">
        <v>6</v>
      </c>
      <c r="H62" s="2" t="s">
        <v>680</v>
      </c>
      <c r="I62" s="2" t="s">
        <v>679</v>
      </c>
    </row>
    <row r="63" spans="1:21" ht="16" customHeight="1"/>
    <row r="64" spans="1:21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spans="1:22" ht="16" customHeight="1"/>
    <row r="82" spans="1:22" ht="16" customHeight="1">
      <c r="A82" t="s">
        <v>33</v>
      </c>
      <c r="B82" t="s">
        <v>49</v>
      </c>
      <c r="C82">
        <v>60238213</v>
      </c>
      <c r="D82">
        <v>60238333</v>
      </c>
    </row>
    <row r="83" spans="1:22" ht="16" customHeight="1">
      <c r="A83" t="s">
        <v>34</v>
      </c>
      <c r="B83" t="s">
        <v>52</v>
      </c>
      <c r="C83">
        <v>23499930</v>
      </c>
      <c r="D83">
        <v>23500050</v>
      </c>
      <c r="F83">
        <v>6</v>
      </c>
      <c r="G83">
        <v>4</v>
      </c>
      <c r="H83" s="2" t="s">
        <v>214</v>
      </c>
      <c r="I83" s="2" t="s">
        <v>215</v>
      </c>
      <c r="K83" t="s">
        <v>237</v>
      </c>
      <c r="L83" s="2" t="s">
        <v>214</v>
      </c>
      <c r="M83" s="2">
        <v>24</v>
      </c>
      <c r="N83" s="2">
        <v>57.87</v>
      </c>
      <c r="O83" s="2">
        <v>37.5</v>
      </c>
      <c r="P83" s="2">
        <v>5</v>
      </c>
      <c r="Q83" s="2">
        <v>1</v>
      </c>
      <c r="R83" s="2">
        <v>186</v>
      </c>
      <c r="S83" s="2">
        <v>3288</v>
      </c>
      <c r="T83" s="2">
        <v>3694</v>
      </c>
    </row>
    <row r="84" spans="1:22" ht="16" customHeight="1">
      <c r="A84" t="s">
        <v>35</v>
      </c>
      <c r="B84" t="s">
        <v>41</v>
      </c>
      <c r="C84">
        <v>147028253</v>
      </c>
      <c r="D84">
        <v>147028373</v>
      </c>
      <c r="K84" t="s">
        <v>238</v>
      </c>
      <c r="L84" s="2" t="s">
        <v>215</v>
      </c>
      <c r="M84" s="2">
        <v>22</v>
      </c>
      <c r="N84" s="2">
        <v>60.49</v>
      </c>
      <c r="O84" s="2">
        <v>45.45</v>
      </c>
      <c r="P84" s="2">
        <v>2</v>
      </c>
      <c r="Q84" s="2">
        <v>0</v>
      </c>
    </row>
    <row r="85" spans="1:22" ht="16" customHeight="1">
      <c r="A85" t="s">
        <v>36</v>
      </c>
      <c r="B85" t="s">
        <v>46</v>
      </c>
      <c r="C85">
        <v>146742195</v>
      </c>
      <c r="D85">
        <v>146742315</v>
      </c>
      <c r="F85">
        <v>4</v>
      </c>
      <c r="G85">
        <v>6</v>
      </c>
      <c r="H85" s="2" t="s">
        <v>221</v>
      </c>
      <c r="I85" s="2" t="s">
        <v>222</v>
      </c>
      <c r="K85" t="s">
        <v>239</v>
      </c>
      <c r="L85" s="2" t="s">
        <v>221</v>
      </c>
      <c r="M85" s="2">
        <v>21</v>
      </c>
      <c r="N85" s="2">
        <v>59.45</v>
      </c>
      <c r="O85" s="2">
        <v>47.62</v>
      </c>
      <c r="P85" s="2">
        <v>4</v>
      </c>
      <c r="Q85" s="2">
        <v>0</v>
      </c>
      <c r="R85" s="2">
        <v>203</v>
      </c>
      <c r="S85" s="2">
        <v>2591</v>
      </c>
    </row>
    <row r="86" spans="1:22" ht="16" customHeight="1">
      <c r="A86" t="s">
        <v>37</v>
      </c>
      <c r="B86" t="s">
        <v>45</v>
      </c>
      <c r="C86">
        <v>68482274</v>
      </c>
      <c r="D86">
        <v>68482394</v>
      </c>
      <c r="F86">
        <v>4</v>
      </c>
      <c r="G86">
        <v>6</v>
      </c>
      <c r="H86" s="2" t="s">
        <v>228</v>
      </c>
      <c r="I86" s="2" t="s">
        <v>229</v>
      </c>
      <c r="K86" t="s">
        <v>240</v>
      </c>
      <c r="L86" s="2" t="s">
        <v>222</v>
      </c>
      <c r="M86" s="2">
        <v>24</v>
      </c>
      <c r="N86" s="2">
        <v>60.08</v>
      </c>
      <c r="O86" s="2">
        <v>45.83</v>
      </c>
      <c r="P86" s="2">
        <v>6</v>
      </c>
      <c r="Q86" s="2">
        <v>2</v>
      </c>
    </row>
    <row r="87" spans="1:22" ht="16" customHeight="1">
      <c r="A87" t="s">
        <v>38</v>
      </c>
      <c r="B87" t="s">
        <v>47</v>
      </c>
      <c r="C87">
        <v>128495554</v>
      </c>
      <c r="D87">
        <v>128495674</v>
      </c>
      <c r="F87">
        <v>4</v>
      </c>
      <c r="G87">
        <v>6</v>
      </c>
      <c r="H87" s="2" t="s">
        <v>230</v>
      </c>
      <c r="I87" s="2" t="s">
        <v>231</v>
      </c>
      <c r="K87" t="s">
        <v>241</v>
      </c>
      <c r="L87" s="2" t="s">
        <v>228</v>
      </c>
      <c r="M87" s="2">
        <v>22</v>
      </c>
      <c r="N87" s="2">
        <v>57.82</v>
      </c>
      <c r="O87" s="2">
        <v>40.909999999999997</v>
      </c>
      <c r="P87" s="2">
        <v>3</v>
      </c>
      <c r="Q87" s="2">
        <v>0</v>
      </c>
      <c r="R87" s="2">
        <v>185</v>
      </c>
      <c r="S87" s="2">
        <v>2210</v>
      </c>
      <c r="T87" s="2">
        <v>3325</v>
      </c>
      <c r="U87" s="2">
        <v>3615</v>
      </c>
      <c r="V87" s="2">
        <v>3851</v>
      </c>
    </row>
    <row r="88" spans="1:22" ht="16" customHeight="1">
      <c r="K88" t="s">
        <v>242</v>
      </c>
      <c r="L88" s="2" t="s">
        <v>229</v>
      </c>
      <c r="M88" s="2">
        <v>24</v>
      </c>
      <c r="N88" s="2">
        <v>58.12</v>
      </c>
      <c r="O88" s="2">
        <v>37.5</v>
      </c>
      <c r="P88" s="2">
        <v>4</v>
      </c>
      <c r="Q88" s="2">
        <v>1</v>
      </c>
    </row>
    <row r="89" spans="1:22" ht="16" customHeight="1">
      <c r="K89" t="s">
        <v>254</v>
      </c>
      <c r="L89" s="2" t="s">
        <v>230</v>
      </c>
      <c r="M89" s="2">
        <v>22</v>
      </c>
      <c r="N89" s="2">
        <v>62.47</v>
      </c>
      <c r="O89" s="2">
        <v>54.55</v>
      </c>
      <c r="P89" s="2">
        <v>4</v>
      </c>
      <c r="Q89" s="2">
        <v>2</v>
      </c>
      <c r="R89" s="2">
        <v>184</v>
      </c>
    </row>
    <row r="90" spans="1:22" ht="16" customHeight="1">
      <c r="K90" t="s">
        <v>328</v>
      </c>
      <c r="L90" s="2" t="s">
        <v>231</v>
      </c>
      <c r="M90" s="2">
        <v>24</v>
      </c>
      <c r="N90" s="2">
        <v>59.96</v>
      </c>
      <c r="O90" s="2">
        <v>50</v>
      </c>
      <c r="P90" s="2">
        <v>5</v>
      </c>
      <c r="Q90" s="2">
        <v>2</v>
      </c>
    </row>
    <row r="91" spans="1:22" ht="16" customHeight="1"/>
    <row r="92" spans="1:22" ht="16" customHeight="1"/>
    <row r="93" spans="1:22" ht="16" customHeight="1"/>
    <row r="94" spans="1:22" ht="16" customHeight="1"/>
    <row r="95" spans="1:22" ht="16" customHeight="1"/>
    <row r="96" spans="1:22" ht="16" customHeight="1">
      <c r="G96">
        <v>320</v>
      </c>
    </row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</sheetData>
  <phoneticPr fontId="2" type="noConversion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1"/>
  <sheetViews>
    <sheetView topLeftCell="A12" zoomScale="90" zoomScaleNormal="90" workbookViewId="0">
      <selection activeCell="D32" sqref="D32"/>
    </sheetView>
  </sheetViews>
  <sheetFormatPr baseColWidth="10" defaultRowHeight="16"/>
  <cols>
    <col min="1" max="1" width="21.83203125" customWidth="1"/>
    <col min="3" max="3" width="11" bestFit="1" customWidth="1"/>
    <col min="4" max="4" width="27.5" bestFit="1" customWidth="1"/>
    <col min="5" max="5" width="17.5" customWidth="1"/>
    <col min="6" max="6" width="18.33203125" bestFit="1" customWidth="1"/>
    <col min="7" max="7" width="19.5" bestFit="1" customWidth="1"/>
    <col min="8" max="8" width="32.1640625" bestFit="1" customWidth="1"/>
    <col min="9" max="9" width="31.6640625" bestFit="1" customWidth="1"/>
    <col min="10" max="10" width="31" customWidth="1"/>
    <col min="11" max="11" width="82.1640625" customWidth="1"/>
    <col min="12" max="12" width="12.5" customWidth="1"/>
    <col min="13" max="13" width="35.33203125" bestFit="1" customWidth="1"/>
    <col min="14" max="14" width="15.33203125" bestFit="1" customWidth="1"/>
  </cols>
  <sheetData>
    <row r="1" spans="1:14">
      <c r="A1" s="11" t="s">
        <v>59</v>
      </c>
      <c r="B1" s="11" t="s">
        <v>319</v>
      </c>
      <c r="C1" s="11" t="s">
        <v>422</v>
      </c>
      <c r="D1" s="11" t="s">
        <v>317</v>
      </c>
      <c r="E1" s="11" t="s">
        <v>316</v>
      </c>
      <c r="F1" s="11" t="s">
        <v>315</v>
      </c>
      <c r="G1" s="11" t="s">
        <v>314</v>
      </c>
      <c r="H1" s="11" t="s">
        <v>313</v>
      </c>
      <c r="I1" s="11" t="s">
        <v>312</v>
      </c>
      <c r="J1" s="11" t="s">
        <v>311</v>
      </c>
      <c r="K1" s="11" t="s">
        <v>310</v>
      </c>
      <c r="L1" s="11" t="s">
        <v>309</v>
      </c>
      <c r="M1" s="11" t="s">
        <v>308</v>
      </c>
      <c r="N1" s="10" t="s">
        <v>307</v>
      </c>
    </row>
    <row r="2" spans="1:14">
      <c r="A2" t="s">
        <v>41</v>
      </c>
      <c r="B2">
        <v>72933853</v>
      </c>
      <c r="C2">
        <v>72933875</v>
      </c>
      <c r="D2" s="5" t="s">
        <v>421</v>
      </c>
      <c r="E2" s="6" t="s">
        <v>420</v>
      </c>
      <c r="F2" s="5">
        <v>4521</v>
      </c>
      <c r="G2" s="5" t="s">
        <v>264</v>
      </c>
      <c r="H2" s="5" t="s">
        <v>258</v>
      </c>
      <c r="I2" s="5" t="s">
        <v>374</v>
      </c>
      <c r="J2" s="5" t="s">
        <v>373</v>
      </c>
      <c r="K2" s="5" t="s">
        <v>419</v>
      </c>
      <c r="L2" s="5">
        <v>0</v>
      </c>
      <c r="M2" s="5">
        <v>0</v>
      </c>
      <c r="N2" s="5">
        <v>0</v>
      </c>
    </row>
    <row r="3" spans="1:14">
      <c r="A3" t="s">
        <v>49</v>
      </c>
      <c r="B3">
        <v>45358959</v>
      </c>
      <c r="C3">
        <v>45358981</v>
      </c>
      <c r="D3" s="5" t="s">
        <v>418</v>
      </c>
      <c r="E3" s="5" t="s">
        <v>417</v>
      </c>
      <c r="F3" s="5">
        <v>3123</v>
      </c>
      <c r="G3" s="5" t="s">
        <v>259</v>
      </c>
      <c r="H3" s="5" t="s">
        <v>258</v>
      </c>
      <c r="I3" s="5" t="s">
        <v>374</v>
      </c>
      <c r="J3" s="5" t="s">
        <v>373</v>
      </c>
      <c r="K3" s="5" t="s">
        <v>416</v>
      </c>
      <c r="L3" s="5">
        <v>2</v>
      </c>
      <c r="M3" s="5">
        <v>0</v>
      </c>
      <c r="N3" s="5">
        <v>2</v>
      </c>
    </row>
    <row r="4" spans="1:14">
      <c r="A4" t="s">
        <v>57</v>
      </c>
      <c r="B4">
        <v>43817549</v>
      </c>
      <c r="C4">
        <v>43817571</v>
      </c>
      <c r="D4" s="5" t="s">
        <v>415</v>
      </c>
      <c r="E4" s="5" t="s">
        <v>414</v>
      </c>
      <c r="F4" s="5">
        <v>1445</v>
      </c>
      <c r="G4" s="5" t="s">
        <v>264</v>
      </c>
      <c r="H4" s="5" t="s">
        <v>258</v>
      </c>
      <c r="I4" s="5" t="s">
        <v>374</v>
      </c>
      <c r="J4" s="5" t="s">
        <v>373</v>
      </c>
      <c r="K4" s="5" t="s">
        <v>413</v>
      </c>
      <c r="L4" s="5">
        <v>2</v>
      </c>
      <c r="M4" s="5">
        <v>1</v>
      </c>
      <c r="N4" s="5">
        <v>3</v>
      </c>
    </row>
    <row r="5" spans="1:14">
      <c r="A5" t="s">
        <v>41</v>
      </c>
      <c r="B5">
        <v>218980334</v>
      </c>
      <c r="C5">
        <v>218980356</v>
      </c>
      <c r="D5" s="5" t="s">
        <v>412</v>
      </c>
      <c r="E5" s="5" t="s">
        <v>411</v>
      </c>
      <c r="F5" s="5">
        <v>700</v>
      </c>
      <c r="G5" s="5" t="s">
        <v>264</v>
      </c>
      <c r="H5" s="5" t="s">
        <v>258</v>
      </c>
      <c r="I5" s="5" t="s">
        <v>374</v>
      </c>
      <c r="J5" s="5" t="s">
        <v>373</v>
      </c>
      <c r="K5" s="5" t="s">
        <v>410</v>
      </c>
      <c r="L5" s="5">
        <v>3</v>
      </c>
      <c r="M5" s="5">
        <v>0</v>
      </c>
      <c r="N5" s="5">
        <v>3</v>
      </c>
    </row>
    <row r="6" spans="1:14">
      <c r="A6" t="s">
        <v>42</v>
      </c>
      <c r="B6">
        <v>127788996</v>
      </c>
      <c r="C6">
        <v>127789018</v>
      </c>
      <c r="D6" s="5" t="s">
        <v>409</v>
      </c>
      <c r="E6" s="5" t="s">
        <v>408</v>
      </c>
      <c r="F6" s="5">
        <v>390</v>
      </c>
      <c r="G6" s="5" t="s">
        <v>264</v>
      </c>
      <c r="H6" s="5" t="s">
        <v>258</v>
      </c>
      <c r="I6" s="5" t="s">
        <v>374</v>
      </c>
      <c r="J6" s="5" t="s">
        <v>373</v>
      </c>
      <c r="K6" s="5" t="s">
        <v>407</v>
      </c>
      <c r="L6" s="5">
        <v>2</v>
      </c>
      <c r="M6" s="5">
        <v>1</v>
      </c>
      <c r="N6" s="5">
        <v>3</v>
      </c>
    </row>
    <row r="7" spans="1:14">
      <c r="A7" t="s">
        <v>49</v>
      </c>
      <c r="B7">
        <v>9227034</v>
      </c>
      <c r="C7">
        <v>9227056</v>
      </c>
      <c r="D7" s="5" t="s">
        <v>406</v>
      </c>
      <c r="E7" s="5" t="s">
        <v>405</v>
      </c>
      <c r="F7" s="5">
        <v>258</v>
      </c>
      <c r="G7" s="5" t="s">
        <v>264</v>
      </c>
      <c r="H7" s="5" t="s">
        <v>258</v>
      </c>
      <c r="I7" s="5" t="s">
        <v>374</v>
      </c>
      <c r="J7" s="5" t="s">
        <v>373</v>
      </c>
      <c r="K7" s="5" t="s">
        <v>404</v>
      </c>
      <c r="L7" s="5">
        <v>3</v>
      </c>
      <c r="M7" s="5">
        <v>0</v>
      </c>
      <c r="N7" s="5">
        <v>3</v>
      </c>
    </row>
    <row r="8" spans="1:14">
      <c r="A8" t="s">
        <v>47</v>
      </c>
      <c r="B8">
        <v>53440758</v>
      </c>
      <c r="C8">
        <v>53440780</v>
      </c>
      <c r="D8" s="5" t="s">
        <v>403</v>
      </c>
      <c r="E8" s="5" t="s">
        <v>402</v>
      </c>
      <c r="F8" s="5">
        <v>216</v>
      </c>
      <c r="G8" s="5" t="s">
        <v>259</v>
      </c>
      <c r="H8" s="5" t="s">
        <v>258</v>
      </c>
      <c r="I8" s="5" t="s">
        <v>374</v>
      </c>
      <c r="J8" s="5" t="s">
        <v>373</v>
      </c>
      <c r="K8" s="5" t="s">
        <v>401</v>
      </c>
      <c r="L8" s="5">
        <v>3</v>
      </c>
      <c r="M8" s="5">
        <v>0</v>
      </c>
      <c r="N8" s="5">
        <v>3</v>
      </c>
    </row>
    <row r="9" spans="1:14">
      <c r="A9" t="s">
        <v>49</v>
      </c>
      <c r="B9">
        <v>147453621</v>
      </c>
      <c r="C9">
        <v>147453643</v>
      </c>
      <c r="D9" s="5" t="s">
        <v>400</v>
      </c>
      <c r="E9" s="5" t="s">
        <v>399</v>
      </c>
      <c r="F9" s="5">
        <v>143</v>
      </c>
      <c r="G9" s="5" t="s">
        <v>259</v>
      </c>
      <c r="H9" s="5" t="s">
        <v>258</v>
      </c>
      <c r="I9" s="5" t="s">
        <v>374</v>
      </c>
      <c r="J9" s="5" t="s">
        <v>373</v>
      </c>
      <c r="K9" s="5" t="s">
        <v>398</v>
      </c>
      <c r="L9" s="5">
        <v>3</v>
      </c>
      <c r="M9" s="5">
        <v>0</v>
      </c>
      <c r="N9" s="5">
        <v>3</v>
      </c>
    </row>
    <row r="10" spans="1:14">
      <c r="A10" t="s">
        <v>55</v>
      </c>
      <c r="B10">
        <v>23394119</v>
      </c>
      <c r="C10">
        <v>23394141</v>
      </c>
      <c r="D10" s="5" t="s">
        <v>397</v>
      </c>
      <c r="E10" s="5" t="s">
        <v>396</v>
      </c>
      <c r="F10" s="5">
        <v>102</v>
      </c>
      <c r="G10" s="5" t="s">
        <v>259</v>
      </c>
      <c r="H10" s="5" t="s">
        <v>258</v>
      </c>
      <c r="I10" s="5" t="s">
        <v>374</v>
      </c>
      <c r="J10" s="5" t="s">
        <v>373</v>
      </c>
      <c r="K10" s="5" t="s">
        <v>395</v>
      </c>
      <c r="L10" s="5">
        <v>3</v>
      </c>
      <c r="M10" s="5">
        <v>0</v>
      </c>
      <c r="N10" s="5">
        <v>3</v>
      </c>
    </row>
    <row r="11" spans="1:14">
      <c r="A11" t="s">
        <v>54</v>
      </c>
      <c r="B11">
        <v>4989913</v>
      </c>
      <c r="C11">
        <v>4989935</v>
      </c>
      <c r="D11" s="5" t="s">
        <v>394</v>
      </c>
      <c r="E11" s="5" t="s">
        <v>393</v>
      </c>
      <c r="F11" s="5">
        <v>67</v>
      </c>
      <c r="G11" s="5" t="s">
        <v>264</v>
      </c>
      <c r="H11" s="5" t="s">
        <v>258</v>
      </c>
      <c r="I11" s="5" t="s">
        <v>374</v>
      </c>
      <c r="J11" s="5" t="s">
        <v>373</v>
      </c>
      <c r="K11" s="5" t="s">
        <v>392</v>
      </c>
      <c r="L11" s="5">
        <v>3</v>
      </c>
      <c r="M11" s="5">
        <v>1</v>
      </c>
      <c r="N11" s="5">
        <v>4</v>
      </c>
    </row>
    <row r="12" spans="1:14">
      <c r="A12" t="s">
        <v>56</v>
      </c>
      <c r="B12">
        <v>9118560</v>
      </c>
      <c r="C12">
        <v>9118582</v>
      </c>
      <c r="D12" s="5" t="s">
        <v>391</v>
      </c>
      <c r="E12" s="5" t="s">
        <v>390</v>
      </c>
      <c r="F12" s="5">
        <v>38</v>
      </c>
      <c r="G12" s="5" t="s">
        <v>259</v>
      </c>
      <c r="H12" s="5" t="s">
        <v>258</v>
      </c>
      <c r="I12" s="5" t="s">
        <v>374</v>
      </c>
      <c r="J12" s="5" t="s">
        <v>373</v>
      </c>
      <c r="K12" s="5" t="s">
        <v>389</v>
      </c>
      <c r="L12" s="5">
        <v>3</v>
      </c>
      <c r="M12" s="5">
        <v>0</v>
      </c>
      <c r="N12" s="5">
        <v>3</v>
      </c>
    </row>
    <row r="13" spans="1:14">
      <c r="A13" t="s">
        <v>51</v>
      </c>
      <c r="B13">
        <v>27195504</v>
      </c>
      <c r="C13">
        <v>27195526</v>
      </c>
      <c r="D13" s="5" t="s">
        <v>388</v>
      </c>
      <c r="E13" s="5" t="s">
        <v>387</v>
      </c>
      <c r="F13" s="5">
        <v>7</v>
      </c>
      <c r="G13" s="5" t="s">
        <v>264</v>
      </c>
      <c r="H13" s="5" t="s">
        <v>258</v>
      </c>
      <c r="I13" s="5" t="s">
        <v>374</v>
      </c>
      <c r="J13" s="5" t="s">
        <v>373</v>
      </c>
      <c r="K13" s="5" t="s">
        <v>386</v>
      </c>
      <c r="L13" s="5">
        <v>3</v>
      </c>
      <c r="M13" s="5">
        <v>1</v>
      </c>
      <c r="N13" s="5">
        <v>4</v>
      </c>
    </row>
    <row r="14" spans="1:14">
      <c r="A14" t="s">
        <v>57</v>
      </c>
      <c r="B14">
        <v>99752257</v>
      </c>
      <c r="C14">
        <v>99752279</v>
      </c>
      <c r="D14" s="5" t="s">
        <v>385</v>
      </c>
      <c r="E14" s="5" t="s">
        <v>384</v>
      </c>
      <c r="F14" s="5">
        <v>6</v>
      </c>
      <c r="G14" s="5" t="s">
        <v>264</v>
      </c>
      <c r="H14" s="5" t="s">
        <v>258</v>
      </c>
      <c r="I14" s="5" t="s">
        <v>374</v>
      </c>
      <c r="J14" s="5" t="s">
        <v>373</v>
      </c>
      <c r="K14" s="5" t="s">
        <v>383</v>
      </c>
      <c r="L14" s="5">
        <v>4</v>
      </c>
      <c r="M14" s="5">
        <v>0</v>
      </c>
      <c r="N14" s="5">
        <v>4</v>
      </c>
    </row>
    <row r="15" spans="1:14">
      <c r="A15" t="s">
        <v>54</v>
      </c>
      <c r="B15">
        <v>95971336</v>
      </c>
      <c r="C15">
        <v>95971358</v>
      </c>
      <c r="D15" s="5" t="s">
        <v>382</v>
      </c>
      <c r="E15" s="5" t="s">
        <v>381</v>
      </c>
      <c r="F15" s="5">
        <v>5</v>
      </c>
      <c r="G15" s="5" t="s">
        <v>259</v>
      </c>
      <c r="H15" s="5" t="s">
        <v>258</v>
      </c>
      <c r="I15" s="5" t="s">
        <v>374</v>
      </c>
      <c r="J15" s="5" t="s">
        <v>373</v>
      </c>
      <c r="K15" s="5" t="s">
        <v>380</v>
      </c>
      <c r="L15" s="5">
        <v>4</v>
      </c>
      <c r="M15" s="5">
        <v>1</v>
      </c>
      <c r="N15" s="5">
        <v>5</v>
      </c>
    </row>
    <row r="16" spans="1:14">
      <c r="A16" t="s">
        <v>41</v>
      </c>
      <c r="B16">
        <v>217513379</v>
      </c>
      <c r="C16">
        <v>217513401</v>
      </c>
      <c r="D16" s="5" t="s">
        <v>379</v>
      </c>
      <c r="E16" s="5" t="s">
        <v>378</v>
      </c>
      <c r="F16" s="5">
        <v>2</v>
      </c>
      <c r="G16" s="5" t="s">
        <v>259</v>
      </c>
      <c r="H16" s="5" t="s">
        <v>258</v>
      </c>
      <c r="I16" s="5" t="s">
        <v>374</v>
      </c>
      <c r="J16" s="5" t="s">
        <v>373</v>
      </c>
      <c r="K16" s="5" t="s">
        <v>377</v>
      </c>
      <c r="L16" s="5">
        <v>4</v>
      </c>
      <c r="M16" s="5">
        <v>0</v>
      </c>
      <c r="N16" s="5">
        <v>4</v>
      </c>
    </row>
    <row r="17" spans="1:24">
      <c r="A17" t="s">
        <v>40</v>
      </c>
      <c r="B17">
        <v>57088952</v>
      </c>
      <c r="C17">
        <v>57088974</v>
      </c>
      <c r="D17" s="5" t="s">
        <v>376</v>
      </c>
      <c r="E17" s="5" t="s">
        <v>375</v>
      </c>
      <c r="F17" s="5">
        <v>2</v>
      </c>
      <c r="G17" s="5" t="s">
        <v>264</v>
      </c>
      <c r="H17" s="5" t="s">
        <v>258</v>
      </c>
      <c r="I17" s="5" t="s">
        <v>374</v>
      </c>
      <c r="J17" s="5" t="s">
        <v>373</v>
      </c>
      <c r="K17" s="5" t="s">
        <v>372</v>
      </c>
      <c r="L17" s="5">
        <v>4</v>
      </c>
      <c r="M17" s="5">
        <v>0</v>
      </c>
      <c r="N17" s="5">
        <v>4</v>
      </c>
    </row>
    <row r="22" spans="1:24" ht="17">
      <c r="A22" s="11" t="s">
        <v>316</v>
      </c>
      <c r="B22" t="s">
        <v>59</v>
      </c>
      <c r="C22" t="s">
        <v>60</v>
      </c>
      <c r="D22" t="s">
        <v>61</v>
      </c>
      <c r="E22" t="s">
        <v>62</v>
      </c>
      <c r="F22" t="s">
        <v>63</v>
      </c>
      <c r="G22" t="s">
        <v>64</v>
      </c>
      <c r="H22" t="s">
        <v>65</v>
      </c>
      <c r="I22" t="s">
        <v>66</v>
      </c>
      <c r="L22" s="14"/>
      <c r="M22" s="3" t="s">
        <v>84</v>
      </c>
      <c r="N22" s="3" t="s">
        <v>85</v>
      </c>
      <c r="O22" s="3" t="s">
        <v>86</v>
      </c>
      <c r="P22" s="3" t="s">
        <v>87</v>
      </c>
      <c r="Q22" s="3" t="s">
        <v>88</v>
      </c>
      <c r="R22" s="3" t="s">
        <v>89</v>
      </c>
    </row>
    <row r="23" spans="1:24" ht="17">
      <c r="A23" s="5" t="s">
        <v>417</v>
      </c>
      <c r="B23" t="s">
        <v>49</v>
      </c>
      <c r="C23">
        <v>45358959</v>
      </c>
      <c r="D23">
        <v>45358981</v>
      </c>
      <c r="E23" t="s">
        <v>489</v>
      </c>
      <c r="F23">
        <v>6</v>
      </c>
      <c r="G23">
        <v>4</v>
      </c>
      <c r="H23" s="2" t="s">
        <v>486</v>
      </c>
      <c r="I23" s="2" t="s">
        <v>487</v>
      </c>
      <c r="J23" s="17" t="s">
        <v>488</v>
      </c>
      <c r="K23" s="17" t="s">
        <v>483</v>
      </c>
      <c r="L23" s="13">
        <v>45358880</v>
      </c>
      <c r="M23" s="2" t="s">
        <v>486</v>
      </c>
      <c r="N23" s="2">
        <v>24</v>
      </c>
      <c r="O23" s="2">
        <v>55.08</v>
      </c>
      <c r="P23" s="2">
        <v>33.33</v>
      </c>
      <c r="Q23" s="2">
        <v>7</v>
      </c>
      <c r="R23" s="2">
        <v>0</v>
      </c>
      <c r="S23" s="2">
        <v>182</v>
      </c>
      <c r="T23" s="2">
        <v>350</v>
      </c>
      <c r="U23" s="2">
        <v>420</v>
      </c>
      <c r="V23" s="2">
        <v>3050</v>
      </c>
      <c r="W23" s="2">
        <v>3923</v>
      </c>
    </row>
    <row r="24" spans="1:24" ht="17">
      <c r="A24" s="5" t="s">
        <v>414</v>
      </c>
      <c r="B24" t="s">
        <v>57</v>
      </c>
      <c r="C24">
        <v>43817549</v>
      </c>
      <c r="D24">
        <v>43817571</v>
      </c>
      <c r="E24" t="s">
        <v>491</v>
      </c>
      <c r="F24">
        <v>4</v>
      </c>
      <c r="G24">
        <v>6</v>
      </c>
      <c r="H24" s="2" t="s">
        <v>500</v>
      </c>
      <c r="I24" s="2" t="s">
        <v>501</v>
      </c>
      <c r="J24" t="s">
        <v>365</v>
      </c>
      <c r="K24" s="17" t="s">
        <v>536</v>
      </c>
      <c r="L24" s="13">
        <v>45359061</v>
      </c>
      <c r="M24" s="2" t="s">
        <v>516</v>
      </c>
      <c r="N24" s="2">
        <v>21</v>
      </c>
      <c r="O24" s="2">
        <v>57.01</v>
      </c>
      <c r="P24" s="2">
        <v>38.1</v>
      </c>
      <c r="Q24" s="2">
        <v>7</v>
      </c>
      <c r="R24" s="2">
        <v>2</v>
      </c>
    </row>
    <row r="25" spans="1:24" ht="17">
      <c r="A25" s="5" t="s">
        <v>411</v>
      </c>
      <c r="B25" t="s">
        <v>41</v>
      </c>
      <c r="C25">
        <v>218980334</v>
      </c>
      <c r="D25">
        <v>218980356</v>
      </c>
      <c r="E25" t="s">
        <v>494</v>
      </c>
      <c r="F25">
        <v>4</v>
      </c>
      <c r="G25">
        <v>6</v>
      </c>
      <c r="H25" s="2" t="s">
        <v>492</v>
      </c>
      <c r="I25" s="2" t="s">
        <v>493</v>
      </c>
      <c r="J25" s="17" t="s">
        <v>358</v>
      </c>
      <c r="K25" s="17" t="s">
        <v>484</v>
      </c>
      <c r="L25" s="13">
        <v>43817476</v>
      </c>
      <c r="M25" s="2" t="s">
        <v>500</v>
      </c>
      <c r="N25" s="2">
        <v>22</v>
      </c>
      <c r="O25" s="2">
        <v>58.4</v>
      </c>
      <c r="P25" s="2">
        <v>45.45</v>
      </c>
      <c r="Q25" s="2">
        <v>3</v>
      </c>
      <c r="R25" s="2">
        <v>2</v>
      </c>
      <c r="S25">
        <f>L26-L25+1</f>
        <v>175</v>
      </c>
      <c r="T25" s="2">
        <v>1434</v>
      </c>
    </row>
    <row r="26" spans="1:24" ht="17">
      <c r="A26" s="5" t="s">
        <v>408</v>
      </c>
      <c r="B26" t="s">
        <v>42</v>
      </c>
      <c r="C26">
        <v>127788996</v>
      </c>
      <c r="D26">
        <v>127789018</v>
      </c>
      <c r="E26" t="s">
        <v>495</v>
      </c>
      <c r="F26">
        <v>4</v>
      </c>
      <c r="G26">
        <v>6</v>
      </c>
      <c r="H26" s="2" t="s">
        <v>502</v>
      </c>
      <c r="I26" s="2" t="s">
        <v>503</v>
      </c>
      <c r="J26" t="s">
        <v>366</v>
      </c>
      <c r="K26" s="17" t="s">
        <v>535</v>
      </c>
      <c r="L26" s="13">
        <v>43817650</v>
      </c>
      <c r="M26" s="2" t="s">
        <v>501</v>
      </c>
      <c r="N26" s="2">
        <v>22</v>
      </c>
      <c r="O26" s="2">
        <v>59.84</v>
      </c>
      <c r="P26" s="2">
        <v>50</v>
      </c>
      <c r="Q26" s="2">
        <v>4</v>
      </c>
      <c r="R26" s="2">
        <v>2</v>
      </c>
    </row>
    <row r="27" spans="1:24" ht="17">
      <c r="A27" s="5" t="s">
        <v>405</v>
      </c>
      <c r="B27" t="s">
        <v>49</v>
      </c>
      <c r="C27">
        <v>9227034</v>
      </c>
      <c r="D27">
        <v>9227056</v>
      </c>
      <c r="E27" t="s">
        <v>496</v>
      </c>
      <c r="F27">
        <v>4</v>
      </c>
      <c r="G27">
        <v>6</v>
      </c>
      <c r="H27" s="2" t="s">
        <v>505</v>
      </c>
      <c r="I27" s="2" t="s">
        <v>506</v>
      </c>
      <c r="J27" s="17" t="s">
        <v>359</v>
      </c>
      <c r="K27" s="17" t="s">
        <v>485</v>
      </c>
      <c r="L27" s="13">
        <v>218980255</v>
      </c>
      <c r="M27" s="2" t="s">
        <v>492</v>
      </c>
      <c r="N27" s="2">
        <v>19</v>
      </c>
      <c r="O27" s="2">
        <v>59.47</v>
      </c>
      <c r="P27" s="2">
        <v>63.16</v>
      </c>
      <c r="Q27" s="2">
        <v>6</v>
      </c>
      <c r="R27" s="2">
        <v>2</v>
      </c>
      <c r="S27">
        <f>L28-L27+1</f>
        <v>175</v>
      </c>
      <c r="T27" s="2">
        <v>2815</v>
      </c>
    </row>
    <row r="28" spans="1:24" ht="17">
      <c r="A28" s="5" t="s">
        <v>402</v>
      </c>
      <c r="B28" t="s">
        <v>47</v>
      </c>
      <c r="C28">
        <v>53440758</v>
      </c>
      <c r="D28">
        <v>53440780</v>
      </c>
      <c r="E28" t="s">
        <v>497</v>
      </c>
      <c r="F28">
        <v>6</v>
      </c>
      <c r="G28">
        <v>4</v>
      </c>
      <c r="H28" s="2" t="s">
        <v>509</v>
      </c>
      <c r="I28" s="2" t="s">
        <v>508</v>
      </c>
      <c r="J28" s="18" t="s">
        <v>367</v>
      </c>
      <c r="K28" s="17" t="s">
        <v>490</v>
      </c>
      <c r="L28" s="13">
        <v>218980429</v>
      </c>
      <c r="M28" s="2" t="s">
        <v>493</v>
      </c>
      <c r="N28" s="2">
        <v>20</v>
      </c>
      <c r="O28" s="2">
        <v>60.25</v>
      </c>
      <c r="P28" s="2">
        <v>55</v>
      </c>
      <c r="Q28" s="2">
        <v>2</v>
      </c>
      <c r="R28" s="2">
        <v>0</v>
      </c>
    </row>
    <row r="29" spans="1:24" ht="17">
      <c r="E29" s="5"/>
      <c r="J29" s="17" t="s">
        <v>360</v>
      </c>
      <c r="K29" s="17" t="s">
        <v>498</v>
      </c>
      <c r="L29" s="13">
        <v>127788924</v>
      </c>
      <c r="M29" s="2" t="s">
        <v>502</v>
      </c>
      <c r="N29" s="2">
        <v>21</v>
      </c>
      <c r="O29" s="2">
        <v>60.2</v>
      </c>
      <c r="P29" s="2">
        <v>52.38</v>
      </c>
      <c r="Q29" s="2">
        <v>3</v>
      </c>
      <c r="R29" s="2">
        <v>0</v>
      </c>
      <c r="S29">
        <f>L30-L29+1</f>
        <v>175</v>
      </c>
      <c r="T29" s="2">
        <v>1699</v>
      </c>
      <c r="U29" s="2">
        <v>2030</v>
      </c>
      <c r="V29" s="2">
        <v>2872</v>
      </c>
      <c r="W29" s="2">
        <v>2220</v>
      </c>
      <c r="X29" s="2">
        <v>3185</v>
      </c>
    </row>
    <row r="30" spans="1:24" ht="17">
      <c r="E30" s="5"/>
      <c r="J30" s="18" t="s">
        <v>368</v>
      </c>
      <c r="K30" s="17" t="s">
        <v>499</v>
      </c>
      <c r="L30" s="13">
        <v>127789098</v>
      </c>
      <c r="M30" s="2" t="s">
        <v>503</v>
      </c>
      <c r="N30" s="2">
        <v>20</v>
      </c>
      <c r="O30" s="2">
        <v>60.47</v>
      </c>
      <c r="P30" s="2">
        <v>55</v>
      </c>
      <c r="Q30" s="2">
        <v>8</v>
      </c>
      <c r="R30" s="2">
        <v>2</v>
      </c>
    </row>
    <row r="31" spans="1:24" ht="17">
      <c r="E31" s="5"/>
      <c r="J31" s="17" t="s">
        <v>361</v>
      </c>
      <c r="K31" s="17" t="s">
        <v>504</v>
      </c>
      <c r="L31" s="13">
        <v>9226940</v>
      </c>
      <c r="M31" s="2" t="s">
        <v>505</v>
      </c>
      <c r="N31" s="2">
        <v>19</v>
      </c>
      <c r="O31" s="2">
        <v>57.93</v>
      </c>
      <c r="P31" s="2">
        <v>57.89</v>
      </c>
      <c r="Q31" s="2">
        <v>6</v>
      </c>
      <c r="R31" s="2">
        <v>2</v>
      </c>
      <c r="S31">
        <f>L32-L31+1</f>
        <v>227</v>
      </c>
      <c r="T31" s="2">
        <v>967</v>
      </c>
    </row>
    <row r="32" spans="1:24" ht="17">
      <c r="A32" s="5" t="s">
        <v>390</v>
      </c>
      <c r="B32" t="s">
        <v>56</v>
      </c>
      <c r="C32">
        <v>9118560</v>
      </c>
      <c r="D32">
        <v>9118582</v>
      </c>
      <c r="E32" s="5"/>
      <c r="H32" s="2"/>
      <c r="I32" s="2"/>
      <c r="J32" s="18" t="s">
        <v>369</v>
      </c>
      <c r="K32" s="17" t="s">
        <v>534</v>
      </c>
      <c r="L32" s="13">
        <v>9227166</v>
      </c>
      <c r="M32" s="2" t="s">
        <v>506</v>
      </c>
      <c r="N32" s="2">
        <v>24</v>
      </c>
      <c r="O32" s="2">
        <v>57.54</v>
      </c>
      <c r="P32" s="2">
        <v>33.33</v>
      </c>
      <c r="Q32" s="2">
        <v>4</v>
      </c>
      <c r="R32" s="2">
        <v>2</v>
      </c>
    </row>
    <row r="33" spans="1:26" ht="17">
      <c r="E33" s="5"/>
      <c r="J33" s="17" t="s">
        <v>362</v>
      </c>
      <c r="K33" s="17" t="s">
        <v>507</v>
      </c>
      <c r="L33" s="13">
        <v>53440859</v>
      </c>
      <c r="M33" s="2" t="s">
        <v>508</v>
      </c>
      <c r="N33" s="2">
        <v>19</v>
      </c>
      <c r="O33" s="2">
        <v>60</v>
      </c>
      <c r="P33" s="2">
        <v>63.16</v>
      </c>
      <c r="Q33" s="2">
        <v>4</v>
      </c>
      <c r="R33" s="2">
        <v>3</v>
      </c>
      <c r="S33">
        <f>L34-L33+1</f>
        <v>-174</v>
      </c>
    </row>
    <row r="34" spans="1:26" ht="17">
      <c r="E34" s="5"/>
      <c r="J34" s="18" t="s">
        <v>370</v>
      </c>
      <c r="K34" s="17" t="s">
        <v>537</v>
      </c>
      <c r="L34" s="13">
        <v>53440684</v>
      </c>
      <c r="M34" s="2" t="s">
        <v>509</v>
      </c>
      <c r="N34" s="2">
        <v>18</v>
      </c>
      <c r="O34" s="2">
        <v>60.13</v>
      </c>
      <c r="P34" s="2">
        <v>66.67</v>
      </c>
      <c r="Q34" s="2">
        <v>3</v>
      </c>
      <c r="R34" s="2">
        <v>1</v>
      </c>
    </row>
    <row r="35" spans="1:26" ht="17">
      <c r="A35" s="5" t="s">
        <v>381</v>
      </c>
      <c r="B35" t="s">
        <v>54</v>
      </c>
      <c r="C35">
        <v>95971336</v>
      </c>
      <c r="D35">
        <v>95971358</v>
      </c>
      <c r="E35" t="s">
        <v>513</v>
      </c>
      <c r="F35">
        <v>6</v>
      </c>
      <c r="G35">
        <v>4</v>
      </c>
      <c r="H35" s="2" t="s">
        <v>515</v>
      </c>
      <c r="I35" s="2" t="s">
        <v>514</v>
      </c>
      <c r="J35" s="17" t="s">
        <v>363</v>
      </c>
      <c r="K35" s="17"/>
      <c r="L35" s="13">
        <v>9118654</v>
      </c>
      <c r="M35" s="2" t="s">
        <v>511</v>
      </c>
      <c r="N35" s="2">
        <v>20</v>
      </c>
      <c r="O35" s="2">
        <v>59.08</v>
      </c>
      <c r="P35" s="2">
        <v>55</v>
      </c>
      <c r="Q35" s="2">
        <v>4</v>
      </c>
      <c r="R35" s="2">
        <v>0</v>
      </c>
      <c r="S35">
        <f>L36-L35+1</f>
        <v>-173</v>
      </c>
      <c r="T35" s="2">
        <v>2669</v>
      </c>
      <c r="U35" s="2">
        <v>2449</v>
      </c>
      <c r="V35" s="2">
        <v>2219</v>
      </c>
      <c r="W35" s="2">
        <v>2110</v>
      </c>
      <c r="X35" s="2">
        <v>1859</v>
      </c>
      <c r="Y35" s="2">
        <v>1489</v>
      </c>
      <c r="Z35" s="2">
        <v>2252</v>
      </c>
    </row>
    <row r="36" spans="1:26" ht="17">
      <c r="E36" s="5"/>
      <c r="J36" s="18"/>
      <c r="K36" s="17"/>
      <c r="L36" s="13">
        <v>9118480</v>
      </c>
      <c r="M36" s="2" t="s">
        <v>512</v>
      </c>
      <c r="N36" s="2">
        <v>18</v>
      </c>
      <c r="O36" s="2">
        <v>60.29</v>
      </c>
      <c r="P36" s="2">
        <v>66.67</v>
      </c>
      <c r="Q36" s="2">
        <v>6</v>
      </c>
      <c r="R36" s="2">
        <v>1</v>
      </c>
    </row>
    <row r="37" spans="1:26" ht="17">
      <c r="E37" s="5"/>
      <c r="J37" s="17" t="s">
        <v>364</v>
      </c>
      <c r="K37" s="17" t="s">
        <v>510</v>
      </c>
      <c r="L37" s="13">
        <v>95971434</v>
      </c>
      <c r="M37" s="2" t="s">
        <v>514</v>
      </c>
      <c r="N37" s="2">
        <v>21</v>
      </c>
      <c r="O37" s="2">
        <v>59.45</v>
      </c>
      <c r="P37" s="2">
        <v>52.38</v>
      </c>
      <c r="Q37" s="2">
        <v>3</v>
      </c>
      <c r="R37" s="2">
        <v>0</v>
      </c>
      <c r="S37">
        <f>L38-L37+1</f>
        <v>-167</v>
      </c>
      <c r="T37" s="2">
        <v>3532</v>
      </c>
    </row>
    <row r="38" spans="1:26" ht="17">
      <c r="J38" s="18" t="s">
        <v>371</v>
      </c>
      <c r="K38" s="17" t="s">
        <v>538</v>
      </c>
      <c r="L38" s="13">
        <v>95971266</v>
      </c>
      <c r="M38" s="2" t="s">
        <v>515</v>
      </c>
      <c r="N38" s="2">
        <v>24</v>
      </c>
      <c r="O38" s="2">
        <v>59.83</v>
      </c>
      <c r="P38" s="2">
        <v>45.83</v>
      </c>
      <c r="Q38" s="2">
        <v>6</v>
      </c>
      <c r="R38" s="2">
        <v>0</v>
      </c>
    </row>
    <row r="42" spans="1:26" ht="17">
      <c r="A42" s="5" t="s">
        <v>399</v>
      </c>
      <c r="B42" t="s">
        <v>49</v>
      </c>
      <c r="C42">
        <v>147453621</v>
      </c>
      <c r="D42">
        <v>147453643</v>
      </c>
      <c r="E42" t="s">
        <v>425</v>
      </c>
      <c r="F42">
        <v>4</v>
      </c>
      <c r="G42">
        <v>6</v>
      </c>
      <c r="H42" s="2" t="s">
        <v>427</v>
      </c>
      <c r="I42" s="2" t="s">
        <v>428</v>
      </c>
      <c r="J42" t="s">
        <v>424</v>
      </c>
      <c r="K42" t="s">
        <v>518</v>
      </c>
      <c r="L42" s="13">
        <v>147453559</v>
      </c>
      <c r="M42" s="2" t="s">
        <v>427</v>
      </c>
      <c r="N42" s="2">
        <v>22</v>
      </c>
      <c r="O42" s="2">
        <v>60.82</v>
      </c>
      <c r="P42" s="2">
        <v>50</v>
      </c>
      <c r="Q42" s="2">
        <v>2</v>
      </c>
      <c r="R42" s="2">
        <v>0</v>
      </c>
      <c r="S42">
        <f>L43-L42+1</f>
        <v>215</v>
      </c>
    </row>
    <row r="43" spans="1:26" ht="17">
      <c r="A43" s="5" t="s">
        <v>396</v>
      </c>
      <c r="B43" t="s">
        <v>55</v>
      </c>
      <c r="C43">
        <v>23394119</v>
      </c>
      <c r="D43">
        <v>23394141</v>
      </c>
      <c r="E43" t="s">
        <v>429</v>
      </c>
      <c r="F43">
        <v>6</v>
      </c>
      <c r="G43">
        <v>4</v>
      </c>
      <c r="H43" s="2" t="s">
        <v>432</v>
      </c>
      <c r="I43" s="2" t="s">
        <v>433</v>
      </c>
      <c r="J43" t="s">
        <v>426</v>
      </c>
      <c r="K43" t="s">
        <v>519</v>
      </c>
      <c r="L43" s="13">
        <v>147453773</v>
      </c>
      <c r="M43" s="2" t="s">
        <v>428</v>
      </c>
      <c r="N43" s="2">
        <v>22</v>
      </c>
      <c r="O43" s="2">
        <v>60.16</v>
      </c>
      <c r="P43" s="2">
        <v>50</v>
      </c>
      <c r="Q43" s="2">
        <v>5</v>
      </c>
      <c r="R43" s="2">
        <v>3</v>
      </c>
    </row>
    <row r="44" spans="1:26" ht="17">
      <c r="A44" s="5" t="s">
        <v>393</v>
      </c>
      <c r="B44" t="s">
        <v>54</v>
      </c>
      <c r="C44">
        <v>4989913</v>
      </c>
      <c r="D44">
        <v>4989935</v>
      </c>
      <c r="E44" t="s">
        <v>438</v>
      </c>
      <c r="F44">
        <v>4</v>
      </c>
      <c r="G44">
        <v>6</v>
      </c>
      <c r="H44" s="2" t="s">
        <v>434</v>
      </c>
      <c r="I44" s="2" t="s">
        <v>435</v>
      </c>
      <c r="J44" t="s">
        <v>430</v>
      </c>
      <c r="K44" t="s">
        <v>520</v>
      </c>
      <c r="L44" s="13">
        <v>23394012</v>
      </c>
      <c r="M44" s="2" t="s">
        <v>432</v>
      </c>
      <c r="N44" s="2">
        <v>24</v>
      </c>
      <c r="O44" s="2">
        <v>57.6</v>
      </c>
      <c r="P44" s="2">
        <v>41.67</v>
      </c>
      <c r="Q44" s="2">
        <v>6</v>
      </c>
      <c r="R44" s="2">
        <v>4</v>
      </c>
      <c r="S44">
        <f>L45-L44+1</f>
        <v>192</v>
      </c>
    </row>
    <row r="45" spans="1:26" ht="17">
      <c r="A45" s="5" t="s">
        <v>390</v>
      </c>
      <c r="B45" t="s">
        <v>56</v>
      </c>
      <c r="C45">
        <v>9118560</v>
      </c>
      <c r="D45">
        <v>9118582</v>
      </c>
      <c r="E45" t="s">
        <v>439</v>
      </c>
      <c r="F45">
        <v>4</v>
      </c>
      <c r="G45">
        <v>6</v>
      </c>
      <c r="H45" s="2" t="s">
        <v>446</v>
      </c>
      <c r="I45" s="2" t="s">
        <v>447</v>
      </c>
      <c r="J45" t="s">
        <v>431</v>
      </c>
      <c r="K45" t="s">
        <v>521</v>
      </c>
      <c r="L45" s="13">
        <v>23394203</v>
      </c>
      <c r="M45" s="2" t="s">
        <v>433</v>
      </c>
      <c r="N45" s="2">
        <v>21</v>
      </c>
      <c r="O45" s="2">
        <v>60.27</v>
      </c>
      <c r="P45" s="2">
        <v>52.38</v>
      </c>
      <c r="Q45" s="2">
        <v>3</v>
      </c>
      <c r="R45" s="2">
        <v>0</v>
      </c>
    </row>
    <row r="46" spans="1:26" ht="17">
      <c r="A46" s="5" t="s">
        <v>387</v>
      </c>
      <c r="B46" t="s">
        <v>51</v>
      </c>
      <c r="C46">
        <v>27195504</v>
      </c>
      <c r="D46">
        <v>27195526</v>
      </c>
      <c r="E46" t="s">
        <v>440</v>
      </c>
      <c r="F46">
        <v>6</v>
      </c>
      <c r="G46">
        <v>4</v>
      </c>
      <c r="H46" s="2" t="s">
        <v>452</v>
      </c>
      <c r="I46" s="2" t="s">
        <v>453</v>
      </c>
      <c r="J46" t="s">
        <v>436</v>
      </c>
      <c r="K46" t="s">
        <v>522</v>
      </c>
      <c r="L46" s="13">
        <v>4989790</v>
      </c>
      <c r="M46" s="2" t="s">
        <v>434</v>
      </c>
      <c r="N46" s="2">
        <v>20</v>
      </c>
      <c r="O46" s="2">
        <v>60.18</v>
      </c>
      <c r="P46" s="2">
        <v>55</v>
      </c>
      <c r="Q46" s="2">
        <v>5</v>
      </c>
      <c r="R46" s="2">
        <v>2</v>
      </c>
      <c r="S46">
        <f>L47-L46+1</f>
        <v>177</v>
      </c>
      <c r="T46" s="2">
        <v>1068</v>
      </c>
    </row>
    <row r="47" spans="1:26" ht="17">
      <c r="A47" s="5" t="s">
        <v>384</v>
      </c>
      <c r="B47" t="s">
        <v>57</v>
      </c>
      <c r="C47">
        <v>99752257</v>
      </c>
      <c r="D47">
        <v>99752279</v>
      </c>
      <c r="E47" t="s">
        <v>441</v>
      </c>
      <c r="F47">
        <v>6</v>
      </c>
      <c r="G47">
        <v>4</v>
      </c>
      <c r="H47" s="2" t="s">
        <v>454</v>
      </c>
      <c r="I47" s="2" t="s">
        <v>455</v>
      </c>
      <c r="J47" t="s">
        <v>437</v>
      </c>
      <c r="K47" t="s">
        <v>523</v>
      </c>
      <c r="L47" s="13">
        <v>4989966</v>
      </c>
      <c r="M47" s="2" t="s">
        <v>435</v>
      </c>
      <c r="N47" s="2">
        <v>24</v>
      </c>
      <c r="O47" s="2">
        <v>59.41</v>
      </c>
      <c r="P47" s="2">
        <v>41.67</v>
      </c>
      <c r="Q47" s="2">
        <v>5</v>
      </c>
      <c r="R47" s="2">
        <v>0</v>
      </c>
    </row>
    <row r="48" spans="1:26" ht="17">
      <c r="A48" s="5" t="s">
        <v>378</v>
      </c>
      <c r="B48" t="s">
        <v>41</v>
      </c>
      <c r="C48">
        <v>217513379</v>
      </c>
      <c r="D48">
        <v>217513401</v>
      </c>
      <c r="E48" t="s">
        <v>442</v>
      </c>
      <c r="F48">
        <v>4</v>
      </c>
      <c r="G48">
        <v>6</v>
      </c>
      <c r="H48" s="2" t="s">
        <v>460</v>
      </c>
      <c r="I48" s="2" t="s">
        <v>461</v>
      </c>
      <c r="J48" t="s">
        <v>444</v>
      </c>
      <c r="K48" t="s">
        <v>524</v>
      </c>
      <c r="L48" s="13">
        <v>9118497</v>
      </c>
      <c r="M48" s="2" t="s">
        <v>446</v>
      </c>
      <c r="N48" s="2">
        <v>22</v>
      </c>
      <c r="O48" s="2">
        <v>63.43</v>
      </c>
      <c r="P48" s="2">
        <v>54.55</v>
      </c>
      <c r="Q48" s="2">
        <v>5</v>
      </c>
      <c r="R48" s="2">
        <v>4</v>
      </c>
      <c r="S48">
        <f>L49-L48+1</f>
        <v>164</v>
      </c>
    </row>
    <row r="49" spans="1:23" ht="17">
      <c r="A49" s="5" t="s">
        <v>375</v>
      </c>
      <c r="B49" t="s">
        <v>40</v>
      </c>
      <c r="C49">
        <v>57088952</v>
      </c>
      <c r="D49">
        <v>57088974</v>
      </c>
      <c r="E49" t="s">
        <v>443</v>
      </c>
      <c r="F49">
        <v>6</v>
      </c>
      <c r="G49">
        <v>4</v>
      </c>
      <c r="H49" s="2" t="s">
        <v>462</v>
      </c>
      <c r="I49" s="2" t="s">
        <v>463</v>
      </c>
      <c r="J49" t="s">
        <v>445</v>
      </c>
      <c r="K49" t="s">
        <v>525</v>
      </c>
      <c r="L49" s="13">
        <v>9118660</v>
      </c>
      <c r="M49" s="2" t="s">
        <v>447</v>
      </c>
      <c r="N49" s="2">
        <v>24</v>
      </c>
      <c r="O49" s="2">
        <v>60.32</v>
      </c>
      <c r="P49" s="2">
        <v>45.83</v>
      </c>
      <c r="Q49" s="2">
        <v>4</v>
      </c>
      <c r="R49" s="2">
        <v>0</v>
      </c>
    </row>
    <row r="50" spans="1:23" ht="17">
      <c r="J50" t="s">
        <v>448</v>
      </c>
      <c r="K50" t="s">
        <v>526</v>
      </c>
      <c r="L50" s="13">
        <v>27195434</v>
      </c>
      <c r="M50" s="2" t="s">
        <v>452</v>
      </c>
      <c r="N50" s="2">
        <v>24</v>
      </c>
      <c r="O50" s="2">
        <v>60.33</v>
      </c>
      <c r="P50" s="2">
        <v>45.83</v>
      </c>
      <c r="Q50" s="2">
        <v>4</v>
      </c>
      <c r="R50" s="2">
        <v>2</v>
      </c>
      <c r="S50">
        <f>L51-L50+1</f>
        <v>168</v>
      </c>
    </row>
    <row r="51" spans="1:23" ht="17">
      <c r="J51" t="s">
        <v>449</v>
      </c>
      <c r="K51" t="s">
        <v>527</v>
      </c>
      <c r="L51" s="13">
        <v>27195601</v>
      </c>
      <c r="M51" s="2" t="s">
        <v>453</v>
      </c>
      <c r="N51" s="2">
        <v>22</v>
      </c>
      <c r="O51" s="2">
        <v>59.43</v>
      </c>
      <c r="P51" s="2">
        <v>50</v>
      </c>
      <c r="Q51" s="2">
        <v>5</v>
      </c>
      <c r="R51" s="2">
        <v>0</v>
      </c>
    </row>
    <row r="52" spans="1:23" ht="17">
      <c r="J52" t="s">
        <v>450</v>
      </c>
      <c r="K52" t="s">
        <v>528</v>
      </c>
      <c r="L52" s="13">
        <v>99752137</v>
      </c>
      <c r="M52" s="2" t="s">
        <v>454</v>
      </c>
      <c r="N52" s="2">
        <v>24</v>
      </c>
      <c r="O52" s="2">
        <v>61.92</v>
      </c>
      <c r="P52" s="2">
        <v>45.83</v>
      </c>
      <c r="Q52" s="2">
        <v>5</v>
      </c>
      <c r="R52" s="2">
        <v>3</v>
      </c>
      <c r="S52">
        <f>L53-L52+1</f>
        <v>226</v>
      </c>
    </row>
    <row r="53" spans="1:23" ht="17">
      <c r="J53" t="s">
        <v>451</v>
      </c>
      <c r="K53" t="s">
        <v>529</v>
      </c>
      <c r="L53" s="13">
        <v>99752362</v>
      </c>
      <c r="M53" s="2" t="s">
        <v>455</v>
      </c>
      <c r="N53" s="2">
        <v>19</v>
      </c>
      <c r="O53" s="2">
        <v>61.98</v>
      </c>
      <c r="P53" s="2">
        <v>63.16</v>
      </c>
      <c r="Q53" s="2">
        <v>6</v>
      </c>
      <c r="R53" s="2">
        <v>4</v>
      </c>
    </row>
    <row r="54" spans="1:23" ht="17">
      <c r="J54" t="s">
        <v>456</v>
      </c>
      <c r="K54" t="s">
        <v>530</v>
      </c>
      <c r="L54" s="13">
        <v>217513308</v>
      </c>
      <c r="M54" s="2" t="s">
        <v>460</v>
      </c>
      <c r="N54" s="2">
        <v>22</v>
      </c>
      <c r="O54" s="2">
        <v>60.29</v>
      </c>
      <c r="P54" s="2">
        <v>50</v>
      </c>
      <c r="Q54" s="2">
        <v>3</v>
      </c>
      <c r="R54" s="2">
        <v>2</v>
      </c>
      <c r="S54">
        <f>L55-L54+1</f>
        <v>196</v>
      </c>
      <c r="T54" s="2">
        <v>2863</v>
      </c>
    </row>
    <row r="55" spans="1:23" ht="17">
      <c r="J55" t="s">
        <v>457</v>
      </c>
      <c r="K55" t="s">
        <v>531</v>
      </c>
      <c r="L55" s="13">
        <v>217513503</v>
      </c>
      <c r="M55" s="2" t="s">
        <v>461</v>
      </c>
      <c r="N55" s="2">
        <v>24</v>
      </c>
      <c r="O55" s="2">
        <v>59.3</v>
      </c>
      <c r="P55" s="2">
        <v>41.67</v>
      </c>
      <c r="Q55" s="2">
        <v>4</v>
      </c>
      <c r="R55" s="2">
        <v>2</v>
      </c>
    </row>
    <row r="56" spans="1:23" ht="17">
      <c r="J56" t="s">
        <v>458</v>
      </c>
      <c r="K56" t="s">
        <v>532</v>
      </c>
      <c r="L56" s="13">
        <v>57088832</v>
      </c>
      <c r="M56" s="2" t="s">
        <v>462</v>
      </c>
      <c r="N56" s="2">
        <v>24</v>
      </c>
      <c r="O56" s="2">
        <v>60.44</v>
      </c>
      <c r="P56" s="2">
        <v>45.83</v>
      </c>
      <c r="Q56" s="2">
        <v>6</v>
      </c>
      <c r="R56" s="2">
        <v>4</v>
      </c>
      <c r="S56">
        <f>L57-L56+1</f>
        <v>165</v>
      </c>
      <c r="T56" s="2">
        <v>3779</v>
      </c>
    </row>
    <row r="57" spans="1:23" ht="17">
      <c r="J57" t="s">
        <v>459</v>
      </c>
      <c r="K57" t="s">
        <v>533</v>
      </c>
      <c r="L57" s="13">
        <v>57088996</v>
      </c>
      <c r="M57" s="2" t="s">
        <v>463</v>
      </c>
      <c r="N57" s="2">
        <v>22</v>
      </c>
      <c r="O57" s="2">
        <v>60.36</v>
      </c>
      <c r="P57" s="2">
        <v>45.45</v>
      </c>
      <c r="Q57" s="2">
        <v>3</v>
      </c>
      <c r="R57" s="2">
        <v>3</v>
      </c>
    </row>
    <row r="63" spans="1:23">
      <c r="J63" t="s">
        <v>774</v>
      </c>
    </row>
    <row r="64" spans="1:23" ht="17">
      <c r="J64" t="s">
        <v>762</v>
      </c>
      <c r="K64" t="s">
        <v>764</v>
      </c>
      <c r="L64" s="13">
        <v>45358744</v>
      </c>
      <c r="M64" s="2" t="s">
        <v>768</v>
      </c>
      <c r="N64" s="2">
        <v>25</v>
      </c>
      <c r="O64" s="2">
        <v>65.36</v>
      </c>
      <c r="P64" s="2">
        <v>56</v>
      </c>
      <c r="Q64" s="2">
        <v>4</v>
      </c>
      <c r="R64" s="2">
        <v>0</v>
      </c>
      <c r="S64">
        <f>L65-L64+1</f>
        <v>303</v>
      </c>
      <c r="T64" s="2">
        <v>313</v>
      </c>
      <c r="U64" s="2">
        <v>305</v>
      </c>
      <c r="V64" s="2">
        <v>285</v>
      </c>
      <c r="W64" s="2">
        <v>315</v>
      </c>
    </row>
    <row r="65" spans="10:19" ht="17">
      <c r="J65" t="s">
        <v>763</v>
      </c>
      <c r="K65" t="s">
        <v>765</v>
      </c>
      <c r="L65" s="13">
        <v>45359046</v>
      </c>
      <c r="M65" s="2" t="s">
        <v>769</v>
      </c>
      <c r="N65" s="2">
        <v>26</v>
      </c>
      <c r="O65" s="2">
        <v>59.96</v>
      </c>
      <c r="P65" s="2">
        <v>42.31</v>
      </c>
      <c r="Q65" s="2">
        <v>4</v>
      </c>
      <c r="R65" s="2">
        <v>3</v>
      </c>
    </row>
    <row r="66" spans="10:19" ht="17">
      <c r="J66" t="s">
        <v>762</v>
      </c>
      <c r="L66" s="13">
        <v>45358798</v>
      </c>
      <c r="M66" s="2" t="s">
        <v>781</v>
      </c>
      <c r="N66" s="2">
        <v>19</v>
      </c>
      <c r="O66" s="2">
        <v>60.08</v>
      </c>
      <c r="P66" s="2">
        <v>57.89</v>
      </c>
      <c r="Q66" s="2">
        <v>6</v>
      </c>
      <c r="R66" s="2">
        <v>2</v>
      </c>
      <c r="S66">
        <f>L67-L66+1</f>
        <v>278</v>
      </c>
    </row>
    <row r="67" spans="10:19" ht="17">
      <c r="J67" t="s">
        <v>763</v>
      </c>
      <c r="L67" s="13">
        <v>45359075</v>
      </c>
      <c r="M67" s="2" t="s">
        <v>782</v>
      </c>
      <c r="N67" s="2">
        <v>24</v>
      </c>
      <c r="O67" s="2">
        <v>58.07</v>
      </c>
      <c r="P67" s="2">
        <v>33.33</v>
      </c>
      <c r="Q67" s="2">
        <v>2</v>
      </c>
      <c r="R67" s="2">
        <v>1</v>
      </c>
    </row>
    <row r="68" spans="10:19" ht="17">
      <c r="J68" t="s">
        <v>766</v>
      </c>
      <c r="K68" t="s">
        <v>770</v>
      </c>
      <c r="L68" s="13">
        <v>43817490</v>
      </c>
      <c r="M68" s="2" t="s">
        <v>772</v>
      </c>
      <c r="N68" s="2">
        <v>24</v>
      </c>
      <c r="O68" s="2">
        <v>65.180000000000007</v>
      </c>
      <c r="P68" s="2">
        <v>54.17</v>
      </c>
      <c r="Q68" s="2">
        <v>5</v>
      </c>
      <c r="R68" s="2">
        <v>2</v>
      </c>
      <c r="S68">
        <f>L69-L68+1</f>
        <v>280</v>
      </c>
    </row>
    <row r="69" spans="10:19" ht="17">
      <c r="J69" t="s">
        <v>767</v>
      </c>
      <c r="K69" t="s">
        <v>771</v>
      </c>
      <c r="L69" s="13">
        <v>43817769</v>
      </c>
      <c r="M69" s="2" t="s">
        <v>773</v>
      </c>
      <c r="N69" s="2">
        <v>27</v>
      </c>
      <c r="O69" s="2">
        <v>62.96</v>
      </c>
      <c r="P69" s="2">
        <v>44.44</v>
      </c>
      <c r="Q69" s="2">
        <v>5</v>
      </c>
      <c r="R69" s="2">
        <v>5</v>
      </c>
    </row>
    <row r="70" spans="10:19" ht="17">
      <c r="J70" t="s">
        <v>775</v>
      </c>
      <c r="K70" t="s">
        <v>777</v>
      </c>
      <c r="L70" s="13">
        <v>9226950</v>
      </c>
      <c r="M70" s="2" t="s">
        <v>779</v>
      </c>
      <c r="N70" s="2">
        <v>25</v>
      </c>
      <c r="O70" s="2">
        <v>62.14</v>
      </c>
      <c r="P70" s="2">
        <v>52</v>
      </c>
      <c r="Q70" s="2">
        <v>6</v>
      </c>
      <c r="R70" s="2">
        <v>4</v>
      </c>
      <c r="S70">
        <f>L71-L70+1</f>
        <v>275</v>
      </c>
    </row>
    <row r="71" spans="10:19" ht="17">
      <c r="J71" t="s">
        <v>776</v>
      </c>
      <c r="K71" t="s">
        <v>778</v>
      </c>
      <c r="L71" s="13">
        <v>9227224</v>
      </c>
      <c r="M71" s="2" t="s">
        <v>780</v>
      </c>
      <c r="N71" s="2">
        <v>23</v>
      </c>
      <c r="O71" s="2">
        <v>60.75</v>
      </c>
      <c r="P71" s="2">
        <v>43.48</v>
      </c>
      <c r="Q71" s="2">
        <v>4</v>
      </c>
      <c r="R71" s="2">
        <v>4</v>
      </c>
    </row>
  </sheetData>
  <phoneticPr fontId="2" type="noConversion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117"/>
  <sheetViews>
    <sheetView zoomScale="58" workbookViewId="0">
      <selection activeCell="AF49" sqref="AF49"/>
    </sheetView>
  </sheetViews>
  <sheetFormatPr baseColWidth="10" defaultRowHeight="16"/>
  <cols>
    <col min="2" max="2" width="23.33203125" customWidth="1"/>
    <col min="3" max="3" width="8" style="56" customWidth="1"/>
    <col min="10" max="10" width="25.83203125" customWidth="1"/>
    <col min="11" max="15" width="0" hidden="1" customWidth="1"/>
    <col min="16" max="16" width="67.33203125" style="66" hidden="1" customWidth="1"/>
    <col min="17" max="17" width="2.5" hidden="1" customWidth="1"/>
    <col min="18" max="18" width="18.1640625" bestFit="1" customWidth="1"/>
    <col min="23" max="23" width="10.33203125" bestFit="1" customWidth="1"/>
    <col min="24" max="24" width="31.33203125" bestFit="1" customWidth="1"/>
    <col min="25" max="25" width="23.5" bestFit="1" customWidth="1"/>
    <col min="26" max="26" width="31.6640625" bestFit="1" customWidth="1"/>
  </cols>
  <sheetData>
    <row r="1" spans="1:28">
      <c r="A1" t="s">
        <v>1087</v>
      </c>
      <c r="B1" t="s">
        <v>1086</v>
      </c>
      <c r="C1" s="56" t="s">
        <v>869</v>
      </c>
      <c r="D1" s="18" t="s">
        <v>808</v>
      </c>
      <c r="E1" s="18" t="s">
        <v>809</v>
      </c>
      <c r="F1" s="18" t="s">
        <v>810</v>
      </c>
      <c r="G1" s="18" t="s">
        <v>811</v>
      </c>
      <c r="H1" s="18" t="s">
        <v>812</v>
      </c>
      <c r="I1" s="18" t="s">
        <v>813</v>
      </c>
      <c r="J1" s="18" t="s">
        <v>814</v>
      </c>
      <c r="K1" s="18" t="s">
        <v>815</v>
      </c>
      <c r="L1" s="18" t="s">
        <v>816</v>
      </c>
      <c r="M1" s="18" t="s">
        <v>817</v>
      </c>
      <c r="N1" s="18" t="s">
        <v>818</v>
      </c>
      <c r="O1" s="18" t="s">
        <v>819</v>
      </c>
      <c r="P1" s="58" t="s">
        <v>820</v>
      </c>
      <c r="Q1" s="18" t="s">
        <v>821</v>
      </c>
      <c r="R1" s="18" t="s">
        <v>912</v>
      </c>
      <c r="S1" s="18" t="s">
        <v>4</v>
      </c>
      <c r="T1" s="18" t="s">
        <v>923</v>
      </c>
      <c r="V1" t="s">
        <v>1392</v>
      </c>
      <c r="W1" t="s">
        <v>1393</v>
      </c>
      <c r="X1" t="s">
        <v>1396</v>
      </c>
      <c r="Y1" t="s">
        <v>1395</v>
      </c>
      <c r="Z1" t="s">
        <v>1394</v>
      </c>
      <c r="AA1" t="s">
        <v>4</v>
      </c>
      <c r="AB1" t="s">
        <v>1397</v>
      </c>
    </row>
    <row r="2" spans="1:28">
      <c r="A2">
        <v>1</v>
      </c>
      <c r="B2" t="s">
        <v>1038</v>
      </c>
      <c r="C2" s="56">
        <v>14</v>
      </c>
      <c r="D2" s="18" t="s">
        <v>57</v>
      </c>
      <c r="E2" s="18">
        <v>91099875</v>
      </c>
      <c r="F2" s="18">
        <v>91099900</v>
      </c>
      <c r="G2" s="18">
        <v>127.0596</v>
      </c>
      <c r="H2" s="18" t="s">
        <v>822</v>
      </c>
      <c r="I2" s="18" t="s">
        <v>823</v>
      </c>
      <c r="J2" s="18" t="s">
        <v>824</v>
      </c>
      <c r="K2" s="18">
        <v>13</v>
      </c>
      <c r="L2" s="18">
        <v>12</v>
      </c>
      <c r="M2" s="18">
        <v>0</v>
      </c>
      <c r="N2" s="18" t="s">
        <v>825</v>
      </c>
      <c r="O2" s="18" t="s">
        <v>826</v>
      </c>
      <c r="P2" s="59">
        <v>4.6546645244443897E+38</v>
      </c>
      <c r="Q2" s="18" t="s">
        <v>827</v>
      </c>
    </row>
    <row r="3" spans="1:28" s="48" customFormat="1">
      <c r="A3" s="48">
        <v>2</v>
      </c>
      <c r="C3" s="49">
        <v>29</v>
      </c>
      <c r="D3" s="48" t="s">
        <v>53</v>
      </c>
      <c r="E3" s="48">
        <v>30648199</v>
      </c>
      <c r="F3" s="48">
        <v>30648232</v>
      </c>
      <c r="G3" s="48">
        <v>69.084400000000002</v>
      </c>
      <c r="H3" s="48" t="s">
        <v>822</v>
      </c>
      <c r="I3" s="48" t="s">
        <v>823</v>
      </c>
      <c r="J3" s="48" t="s">
        <v>824</v>
      </c>
      <c r="K3" s="48">
        <v>17</v>
      </c>
      <c r="L3" s="48">
        <v>17</v>
      </c>
      <c r="M3" s="48">
        <v>0</v>
      </c>
      <c r="N3" s="48" t="s">
        <v>843</v>
      </c>
      <c r="O3" s="48" t="s">
        <v>844</v>
      </c>
      <c r="P3" s="65">
        <v>3.33340324325321E+50</v>
      </c>
      <c r="Q3" s="48" t="s">
        <v>845</v>
      </c>
      <c r="V3"/>
      <c r="W3"/>
      <c r="X3"/>
      <c r="Y3"/>
      <c r="Z3"/>
      <c r="AA3"/>
      <c r="AB3"/>
    </row>
    <row r="4" spans="1:28">
      <c r="A4">
        <v>3</v>
      </c>
      <c r="B4" t="s">
        <v>1039</v>
      </c>
      <c r="C4" s="56">
        <v>128</v>
      </c>
      <c r="D4" t="s">
        <v>54</v>
      </c>
      <c r="E4">
        <v>148697798</v>
      </c>
      <c r="F4">
        <v>148697819</v>
      </c>
      <c r="G4">
        <v>16.871400000000001</v>
      </c>
      <c r="H4" t="s">
        <v>822</v>
      </c>
      <c r="I4" t="s">
        <v>823</v>
      </c>
      <c r="J4" t="s">
        <v>824</v>
      </c>
      <c r="K4">
        <v>17</v>
      </c>
      <c r="L4">
        <v>16</v>
      </c>
      <c r="M4">
        <v>0</v>
      </c>
      <c r="N4" t="s">
        <v>839</v>
      </c>
      <c r="O4" t="s">
        <v>840</v>
      </c>
      <c r="P4" s="70" t="s">
        <v>841</v>
      </c>
      <c r="Q4" t="s">
        <v>842</v>
      </c>
      <c r="V4" s="48"/>
      <c r="W4" s="48"/>
      <c r="X4" s="48"/>
      <c r="Y4" s="48"/>
      <c r="Z4" s="48"/>
      <c r="AA4" s="48"/>
      <c r="AB4" s="48"/>
    </row>
    <row r="5" spans="1:28" s="62" customFormat="1">
      <c r="A5">
        <v>4</v>
      </c>
      <c r="B5" t="s">
        <v>1040</v>
      </c>
      <c r="C5" s="56">
        <v>358</v>
      </c>
      <c r="D5" t="s">
        <v>44</v>
      </c>
      <c r="E5">
        <v>66371419</v>
      </c>
      <c r="F5">
        <v>66371431</v>
      </c>
      <c r="G5">
        <v>1.6667000000000001</v>
      </c>
      <c r="H5" t="s">
        <v>822</v>
      </c>
      <c r="I5" t="s">
        <v>823</v>
      </c>
      <c r="J5" t="s">
        <v>824</v>
      </c>
      <c r="K5">
        <v>9</v>
      </c>
      <c r="L5">
        <v>9</v>
      </c>
      <c r="M5">
        <v>0</v>
      </c>
      <c r="N5" t="s">
        <v>835</v>
      </c>
      <c r="O5" t="s">
        <v>836</v>
      </c>
      <c r="P5" s="66" t="s">
        <v>837</v>
      </c>
      <c r="Q5" t="s">
        <v>838</v>
      </c>
      <c r="R5"/>
      <c r="S5"/>
      <c r="T5"/>
      <c r="U5"/>
      <c r="V5" s="48"/>
      <c r="W5" s="48"/>
      <c r="X5" s="48"/>
      <c r="Y5" s="48"/>
      <c r="Z5" s="48"/>
      <c r="AA5" s="48"/>
      <c r="AB5" s="48"/>
    </row>
    <row r="6" spans="1:28" s="48" customFormat="1">
      <c r="A6" s="48">
        <v>5</v>
      </c>
      <c r="C6" s="49">
        <v>547</v>
      </c>
      <c r="D6" s="48" t="s">
        <v>44</v>
      </c>
      <c r="E6" s="48">
        <v>73747447</v>
      </c>
      <c r="F6" s="48">
        <v>73747453</v>
      </c>
      <c r="G6" s="48">
        <v>0.16869999999999999</v>
      </c>
      <c r="H6" s="48" t="s">
        <v>822</v>
      </c>
      <c r="I6" s="48" t="s">
        <v>823</v>
      </c>
      <c r="J6" s="48" t="s">
        <v>824</v>
      </c>
      <c r="K6" s="48">
        <v>6</v>
      </c>
      <c r="L6" s="48">
        <v>5</v>
      </c>
      <c r="M6" s="48">
        <v>0</v>
      </c>
      <c r="N6" s="48" t="s">
        <v>832</v>
      </c>
      <c r="O6" s="48" t="s">
        <v>833</v>
      </c>
      <c r="P6" s="65">
        <v>1.3013013213918701E+17</v>
      </c>
      <c r="Q6" s="48" t="s">
        <v>834</v>
      </c>
      <c r="V6"/>
      <c r="W6"/>
      <c r="X6"/>
      <c r="Y6"/>
      <c r="Z6"/>
      <c r="AA6"/>
      <c r="AB6"/>
    </row>
    <row r="7" spans="1:28">
      <c r="A7">
        <v>6</v>
      </c>
      <c r="B7" t="s">
        <v>1041</v>
      </c>
      <c r="C7" s="56">
        <v>660</v>
      </c>
      <c r="D7" t="s">
        <v>57</v>
      </c>
      <c r="E7">
        <v>68819911</v>
      </c>
      <c r="F7">
        <v>68819916</v>
      </c>
      <c r="G7">
        <v>1.61E-2</v>
      </c>
      <c r="H7" t="s">
        <v>822</v>
      </c>
      <c r="I7" t="s">
        <v>823</v>
      </c>
      <c r="J7" t="s">
        <v>824</v>
      </c>
      <c r="K7">
        <v>5</v>
      </c>
      <c r="L7">
        <v>4</v>
      </c>
      <c r="M7">
        <v>0</v>
      </c>
      <c r="N7" t="s">
        <v>828</v>
      </c>
      <c r="O7" t="s">
        <v>829</v>
      </c>
      <c r="P7" s="66" t="s">
        <v>830</v>
      </c>
      <c r="Q7" t="s">
        <v>831</v>
      </c>
      <c r="V7" s="62"/>
      <c r="W7" s="62"/>
      <c r="X7" s="62"/>
      <c r="Y7" s="62"/>
      <c r="Z7" s="62"/>
      <c r="AA7" s="62"/>
      <c r="AB7" s="62"/>
    </row>
    <row r="8" spans="1:28">
      <c r="A8">
        <v>7</v>
      </c>
      <c r="B8" s="18" t="s">
        <v>1026</v>
      </c>
      <c r="C8" s="56">
        <v>64</v>
      </c>
      <c r="D8" t="s">
        <v>55</v>
      </c>
      <c r="E8">
        <v>23435743</v>
      </c>
      <c r="F8">
        <v>23435773</v>
      </c>
      <c r="G8">
        <v>38.343200000000003</v>
      </c>
      <c r="H8" t="s">
        <v>823</v>
      </c>
      <c r="I8" t="s">
        <v>822</v>
      </c>
      <c r="J8" t="s">
        <v>861</v>
      </c>
      <c r="K8">
        <v>18</v>
      </c>
      <c r="L8">
        <v>18</v>
      </c>
      <c r="M8">
        <v>0</v>
      </c>
      <c r="N8" t="s">
        <v>862</v>
      </c>
      <c r="O8" t="s">
        <v>863</v>
      </c>
      <c r="P8" s="60">
        <v>1.8318318818718599E+53</v>
      </c>
      <c r="Q8" t="s">
        <v>864</v>
      </c>
    </row>
    <row r="9" spans="1:28" s="62" customFormat="1">
      <c r="A9">
        <v>8</v>
      </c>
      <c r="B9" s="18" t="s">
        <v>1027</v>
      </c>
      <c r="C9" s="56">
        <v>67</v>
      </c>
      <c r="D9" t="s">
        <v>56</v>
      </c>
      <c r="E9">
        <v>110199810</v>
      </c>
      <c r="F9">
        <v>110199831</v>
      </c>
      <c r="G9">
        <v>36.790700000000001</v>
      </c>
      <c r="H9" t="s">
        <v>823</v>
      </c>
      <c r="I9" t="s">
        <v>822</v>
      </c>
      <c r="J9" t="s">
        <v>846</v>
      </c>
      <c r="K9">
        <v>15</v>
      </c>
      <c r="L9">
        <v>15</v>
      </c>
      <c r="M9">
        <v>0</v>
      </c>
      <c r="N9" t="s">
        <v>847</v>
      </c>
      <c r="O9" t="s">
        <v>848</v>
      </c>
      <c r="P9" s="60">
        <v>1.6016116115515299E+44</v>
      </c>
      <c r="Q9" t="s">
        <v>849</v>
      </c>
      <c r="R9"/>
      <c r="S9"/>
      <c r="T9"/>
      <c r="U9"/>
      <c r="V9"/>
      <c r="W9"/>
      <c r="X9"/>
      <c r="Y9"/>
      <c r="Z9"/>
      <c r="AA9"/>
      <c r="AB9"/>
    </row>
    <row r="10" spans="1:28" s="62" customFormat="1">
      <c r="A10">
        <v>9</v>
      </c>
      <c r="B10" s="18" t="s">
        <v>1028</v>
      </c>
      <c r="C10" s="56">
        <v>123</v>
      </c>
      <c r="D10" t="s">
        <v>46</v>
      </c>
      <c r="E10">
        <v>131106788</v>
      </c>
      <c r="F10">
        <v>131106820</v>
      </c>
      <c r="G10">
        <v>17.59</v>
      </c>
      <c r="H10" t="s">
        <v>823</v>
      </c>
      <c r="I10" t="s">
        <v>822</v>
      </c>
      <c r="J10" t="s">
        <v>850</v>
      </c>
      <c r="K10">
        <v>16</v>
      </c>
      <c r="L10">
        <v>15</v>
      </c>
      <c r="M10">
        <v>0</v>
      </c>
      <c r="N10" t="s">
        <v>851</v>
      </c>
      <c r="O10" t="s">
        <v>852</v>
      </c>
      <c r="P10" s="66" t="s">
        <v>853</v>
      </c>
      <c r="Q10" t="s">
        <v>854</v>
      </c>
      <c r="R10"/>
      <c r="S10"/>
      <c r="T10"/>
      <c r="U10"/>
      <c r="V10" s="48"/>
      <c r="W10" s="48"/>
      <c r="X10" s="48"/>
      <c r="Y10" s="48"/>
      <c r="Z10" s="48"/>
      <c r="AA10" s="48"/>
      <c r="AB10" s="48"/>
    </row>
    <row r="11" spans="1:28">
      <c r="A11">
        <v>10</v>
      </c>
      <c r="B11" s="18" t="s">
        <v>1127</v>
      </c>
      <c r="C11" s="56">
        <v>207</v>
      </c>
      <c r="D11" t="s">
        <v>855</v>
      </c>
      <c r="E11">
        <v>57434102</v>
      </c>
      <c r="F11">
        <v>57434126</v>
      </c>
      <c r="G11">
        <v>6.1616999999999997</v>
      </c>
      <c r="H11" t="s">
        <v>823</v>
      </c>
      <c r="I11" t="s">
        <v>822</v>
      </c>
      <c r="J11" t="s">
        <v>856</v>
      </c>
      <c r="K11">
        <v>14</v>
      </c>
      <c r="L11">
        <v>14</v>
      </c>
      <c r="M11">
        <v>0</v>
      </c>
      <c r="N11" t="s">
        <v>857</v>
      </c>
      <c r="O11" t="s">
        <v>858</v>
      </c>
      <c r="P11" s="70" t="s">
        <v>859</v>
      </c>
      <c r="Q11" t="s">
        <v>860</v>
      </c>
      <c r="V11" s="62"/>
      <c r="W11" s="62"/>
      <c r="X11" s="62"/>
      <c r="Y11" s="62"/>
      <c r="Z11" s="62"/>
      <c r="AA11" s="62"/>
      <c r="AB11" s="62"/>
    </row>
    <row r="12" spans="1:28">
      <c r="A12">
        <v>11</v>
      </c>
      <c r="B12" t="s">
        <v>589</v>
      </c>
      <c r="C12" s="66">
        <v>22</v>
      </c>
      <c r="D12" t="s">
        <v>56</v>
      </c>
      <c r="E12">
        <v>43770821</v>
      </c>
      <c r="F12">
        <v>43770839</v>
      </c>
      <c r="G12">
        <v>93.756200000000007</v>
      </c>
      <c r="H12" t="s">
        <v>822</v>
      </c>
      <c r="I12" t="s">
        <v>822</v>
      </c>
      <c r="J12" t="s">
        <v>874</v>
      </c>
      <c r="K12">
        <v>15</v>
      </c>
      <c r="L12">
        <v>14</v>
      </c>
      <c r="M12">
        <v>0</v>
      </c>
      <c r="N12" t="s">
        <v>875</v>
      </c>
      <c r="O12" t="s">
        <v>876</v>
      </c>
      <c r="P12" s="60">
        <v>3.2031831931831101E+44</v>
      </c>
      <c r="Q12" t="s">
        <v>877</v>
      </c>
      <c r="V12" s="62"/>
      <c r="W12" s="62"/>
      <c r="X12" s="62"/>
      <c r="Y12" s="62"/>
      <c r="Z12" s="62"/>
      <c r="AA12" s="62"/>
      <c r="AB12" s="62"/>
    </row>
    <row r="13" spans="1:28">
      <c r="A13">
        <v>12</v>
      </c>
      <c r="B13" t="s">
        <v>320</v>
      </c>
      <c r="C13" s="56">
        <v>24</v>
      </c>
      <c r="D13" t="s">
        <v>49</v>
      </c>
      <c r="E13">
        <v>6714951</v>
      </c>
      <c r="F13">
        <v>6715002</v>
      </c>
      <c r="G13">
        <v>85.588200000000001</v>
      </c>
      <c r="H13" t="s">
        <v>822</v>
      </c>
      <c r="I13" t="s">
        <v>822</v>
      </c>
      <c r="J13" t="s">
        <v>1147</v>
      </c>
      <c r="K13">
        <v>17</v>
      </c>
      <c r="L13">
        <v>15</v>
      </c>
      <c r="M13">
        <v>0</v>
      </c>
      <c r="N13" t="s">
        <v>1148</v>
      </c>
      <c r="O13" t="s">
        <v>1149</v>
      </c>
      <c r="P13" s="60">
        <v>2.84297305334345E+50</v>
      </c>
      <c r="Q13" t="s">
        <v>1150</v>
      </c>
      <c r="V13" s="32"/>
      <c r="W13" s="32"/>
      <c r="X13" s="32"/>
      <c r="Y13" s="32"/>
      <c r="Z13" s="32"/>
      <c r="AA13" s="32"/>
      <c r="AB13" s="32"/>
    </row>
    <row r="14" spans="1:28">
      <c r="A14">
        <v>13</v>
      </c>
      <c r="B14" t="s">
        <v>321</v>
      </c>
      <c r="C14" s="56">
        <v>5</v>
      </c>
      <c r="D14" t="s">
        <v>41</v>
      </c>
      <c r="E14">
        <v>241275178</v>
      </c>
      <c r="F14">
        <v>241275194</v>
      </c>
      <c r="G14">
        <v>163.80529999999999</v>
      </c>
      <c r="H14" t="s">
        <v>822</v>
      </c>
      <c r="I14" t="s">
        <v>822</v>
      </c>
      <c r="J14" t="s">
        <v>1151</v>
      </c>
      <c r="K14">
        <v>14</v>
      </c>
      <c r="L14">
        <v>14</v>
      </c>
      <c r="M14">
        <v>0</v>
      </c>
      <c r="N14" t="s">
        <v>1152</v>
      </c>
      <c r="O14" t="s">
        <v>1153</v>
      </c>
      <c r="P14" s="60">
        <v>5.3554153654053699E+41</v>
      </c>
      <c r="Q14" t="s">
        <v>1154</v>
      </c>
    </row>
    <row r="15" spans="1:28">
      <c r="A15">
        <v>14</v>
      </c>
      <c r="B15" t="s">
        <v>322</v>
      </c>
      <c r="C15" s="56">
        <v>3</v>
      </c>
      <c r="D15" t="s">
        <v>43</v>
      </c>
      <c r="E15">
        <v>100837359</v>
      </c>
      <c r="F15">
        <v>100837380</v>
      </c>
      <c r="G15">
        <v>174.84280000000001</v>
      </c>
      <c r="H15" t="s">
        <v>822</v>
      </c>
      <c r="I15" t="s">
        <v>822</v>
      </c>
      <c r="J15" t="s">
        <v>1157</v>
      </c>
      <c r="K15">
        <v>15</v>
      </c>
      <c r="L15">
        <v>15</v>
      </c>
      <c r="M15">
        <v>0</v>
      </c>
      <c r="N15" t="s">
        <v>1158</v>
      </c>
      <c r="O15" t="s">
        <v>1159</v>
      </c>
      <c r="Q15" t="s">
        <v>1168</v>
      </c>
    </row>
    <row r="16" spans="1:28">
      <c r="A16">
        <v>15</v>
      </c>
      <c r="B16" t="s">
        <v>323</v>
      </c>
      <c r="C16" s="66">
        <v>8</v>
      </c>
      <c r="D16" t="s">
        <v>44</v>
      </c>
      <c r="E16">
        <v>72237742</v>
      </c>
      <c r="F16">
        <v>72237764</v>
      </c>
      <c r="G16">
        <v>160.2184</v>
      </c>
      <c r="H16" t="s">
        <v>822</v>
      </c>
      <c r="I16" t="s">
        <v>822</v>
      </c>
      <c r="J16" t="s">
        <v>1160</v>
      </c>
      <c r="K16">
        <v>14</v>
      </c>
      <c r="L16">
        <v>13</v>
      </c>
      <c r="M16">
        <v>0</v>
      </c>
      <c r="N16" t="s">
        <v>1161</v>
      </c>
      <c r="O16" t="s">
        <v>1162</v>
      </c>
      <c r="P16" s="60">
        <v>5.9957754854754701E+41</v>
      </c>
      <c r="Q16" t="s">
        <v>1163</v>
      </c>
      <c r="V16" s="32"/>
      <c r="W16" s="32"/>
      <c r="X16" s="32"/>
      <c r="Y16" s="32"/>
      <c r="Z16" s="32"/>
      <c r="AA16" s="32"/>
      <c r="AB16" s="32"/>
    </row>
    <row r="17" spans="1:28">
      <c r="A17">
        <v>16</v>
      </c>
      <c r="B17" t="s">
        <v>347</v>
      </c>
      <c r="C17" s="56">
        <v>4</v>
      </c>
      <c r="D17" t="s">
        <v>53</v>
      </c>
      <c r="E17">
        <v>4455454</v>
      </c>
      <c r="F17">
        <v>4455471</v>
      </c>
      <c r="G17">
        <v>163.8356</v>
      </c>
      <c r="H17" t="s">
        <v>822</v>
      </c>
      <c r="I17" t="s">
        <v>822</v>
      </c>
      <c r="J17" t="s">
        <v>1164</v>
      </c>
      <c r="K17">
        <v>14</v>
      </c>
      <c r="L17">
        <v>14</v>
      </c>
      <c r="M17">
        <v>0</v>
      </c>
      <c r="N17" t="s">
        <v>1165</v>
      </c>
      <c r="O17" t="s">
        <v>1166</v>
      </c>
      <c r="P17" s="60">
        <v>5.6156355655254501E+41</v>
      </c>
      <c r="Q17" t="s">
        <v>1167</v>
      </c>
      <c r="V17" s="48"/>
      <c r="W17" s="48"/>
      <c r="X17" s="48"/>
      <c r="Y17" s="48"/>
      <c r="Z17" s="48"/>
      <c r="AA17" s="48"/>
      <c r="AB17" s="48"/>
    </row>
    <row r="18" spans="1:28">
      <c r="A18">
        <v>17</v>
      </c>
      <c r="B18" t="s">
        <v>1181</v>
      </c>
      <c r="C18" s="66">
        <v>2</v>
      </c>
      <c r="D18" t="s">
        <v>43</v>
      </c>
      <c r="E18">
        <v>27338850</v>
      </c>
      <c r="F18">
        <v>27338880</v>
      </c>
      <c r="G18">
        <v>214.54089999999999</v>
      </c>
      <c r="H18" t="s">
        <v>822</v>
      </c>
      <c r="I18" t="s">
        <v>822</v>
      </c>
      <c r="J18" t="s">
        <v>1171</v>
      </c>
      <c r="K18">
        <v>16</v>
      </c>
      <c r="L18">
        <v>15</v>
      </c>
      <c r="M18">
        <v>0</v>
      </c>
      <c r="N18" t="s">
        <v>1172</v>
      </c>
      <c r="O18" t="s">
        <v>1173</v>
      </c>
      <c r="P18" s="60">
        <v>7.2973872772072101E+47</v>
      </c>
      <c r="Q18" t="s">
        <v>1174</v>
      </c>
      <c r="V18" s="32"/>
      <c r="W18" s="32"/>
      <c r="X18" s="32"/>
      <c r="Y18" s="32"/>
      <c r="Z18" s="32"/>
      <c r="AA18" s="32"/>
      <c r="AB18" s="32"/>
    </row>
    <row r="19" spans="1:28">
      <c r="A19">
        <v>18</v>
      </c>
      <c r="B19" s="18" t="s">
        <v>1182</v>
      </c>
      <c r="C19" s="66">
        <v>44</v>
      </c>
      <c r="D19" t="s">
        <v>40</v>
      </c>
      <c r="E19">
        <v>133336423</v>
      </c>
      <c r="F19">
        <v>133336443</v>
      </c>
      <c r="G19">
        <v>52.854599999999998</v>
      </c>
      <c r="H19" t="s">
        <v>822</v>
      </c>
      <c r="I19" t="s">
        <v>822</v>
      </c>
      <c r="J19" t="s">
        <v>1175</v>
      </c>
      <c r="K19">
        <v>14</v>
      </c>
      <c r="L19">
        <v>14</v>
      </c>
      <c r="M19">
        <v>0</v>
      </c>
      <c r="N19" t="s">
        <v>1176</v>
      </c>
      <c r="O19" t="s">
        <v>1177</v>
      </c>
      <c r="P19" s="60">
        <v>1.8918418318118298E+41</v>
      </c>
      <c r="Q19" t="s">
        <v>1178</v>
      </c>
      <c r="V19" s="48"/>
      <c r="W19" s="48"/>
      <c r="X19" s="48"/>
      <c r="Y19" s="48"/>
      <c r="Z19" s="48"/>
      <c r="AA19" s="48"/>
      <c r="AB19" s="48"/>
    </row>
    <row r="20" spans="1:28">
      <c r="A20">
        <v>19</v>
      </c>
      <c r="B20" t="s">
        <v>1128</v>
      </c>
      <c r="C20" s="66">
        <v>10</v>
      </c>
      <c r="D20" t="s">
        <v>53</v>
      </c>
      <c r="E20">
        <v>64089691</v>
      </c>
      <c r="F20">
        <v>64089728</v>
      </c>
      <c r="G20">
        <v>135.35890000000001</v>
      </c>
      <c r="H20" t="s">
        <v>822</v>
      </c>
      <c r="I20" t="s">
        <v>822</v>
      </c>
      <c r="J20" t="s">
        <v>865</v>
      </c>
      <c r="K20">
        <v>20</v>
      </c>
      <c r="L20">
        <v>19</v>
      </c>
      <c r="M20">
        <v>0</v>
      </c>
      <c r="N20" t="s">
        <v>866</v>
      </c>
      <c r="O20" t="s">
        <v>867</v>
      </c>
      <c r="P20" s="60">
        <v>5.7857455454753097E+59</v>
      </c>
      <c r="Q20" t="s">
        <v>868</v>
      </c>
    </row>
    <row r="21" spans="1:28">
      <c r="A21">
        <v>20</v>
      </c>
      <c r="B21" t="s">
        <v>1129</v>
      </c>
      <c r="C21" s="70">
        <v>17</v>
      </c>
      <c r="D21" t="s">
        <v>44</v>
      </c>
      <c r="E21">
        <v>133907525</v>
      </c>
      <c r="F21">
        <v>133907564</v>
      </c>
      <c r="G21">
        <v>111.7033</v>
      </c>
      <c r="H21" t="s">
        <v>822</v>
      </c>
      <c r="I21" t="s">
        <v>822</v>
      </c>
      <c r="J21" t="s">
        <v>870</v>
      </c>
      <c r="K21">
        <v>16</v>
      </c>
      <c r="L21">
        <v>15</v>
      </c>
      <c r="M21">
        <v>0</v>
      </c>
      <c r="N21" t="s">
        <v>871</v>
      </c>
      <c r="O21" t="s">
        <v>872</v>
      </c>
      <c r="P21" s="60">
        <v>4.8451047546146103E+47</v>
      </c>
      <c r="Q21" t="s">
        <v>873</v>
      </c>
      <c r="V21" s="48"/>
      <c r="W21" s="48"/>
      <c r="X21" s="48"/>
      <c r="Y21" s="48"/>
      <c r="Z21" s="48"/>
      <c r="AA21" s="48"/>
      <c r="AB21" s="48"/>
    </row>
    <row r="22" spans="1:28">
      <c r="A22">
        <v>21</v>
      </c>
      <c r="B22" s="18" t="s">
        <v>1130</v>
      </c>
      <c r="C22" s="70">
        <v>90</v>
      </c>
      <c r="D22" t="s">
        <v>58</v>
      </c>
      <c r="E22">
        <v>50446357</v>
      </c>
      <c r="F22">
        <v>50446374</v>
      </c>
      <c r="G22">
        <v>25.3125</v>
      </c>
      <c r="H22" t="s">
        <v>822</v>
      </c>
      <c r="I22" t="s">
        <v>822</v>
      </c>
      <c r="J22" t="s">
        <v>878</v>
      </c>
      <c r="K22">
        <v>17</v>
      </c>
      <c r="L22">
        <v>17</v>
      </c>
      <c r="M22">
        <v>0</v>
      </c>
      <c r="N22" t="s">
        <v>879</v>
      </c>
      <c r="O22" t="s">
        <v>880</v>
      </c>
      <c r="P22" s="70" t="s">
        <v>881</v>
      </c>
      <c r="Q22" t="s">
        <v>882</v>
      </c>
    </row>
    <row r="23" spans="1:28" s="62" customFormat="1">
      <c r="A23">
        <v>22</v>
      </c>
      <c r="B23" s="18" t="s">
        <v>1131</v>
      </c>
      <c r="C23" s="56">
        <v>110</v>
      </c>
      <c r="D23" t="s">
        <v>50</v>
      </c>
      <c r="E23">
        <v>38535984</v>
      </c>
      <c r="F23">
        <v>38536007</v>
      </c>
      <c r="G23">
        <v>20.041699999999999</v>
      </c>
      <c r="H23" t="s">
        <v>822</v>
      </c>
      <c r="I23" t="s">
        <v>822</v>
      </c>
      <c r="J23" t="s">
        <v>883</v>
      </c>
      <c r="K23">
        <v>19</v>
      </c>
      <c r="L23">
        <v>19</v>
      </c>
      <c r="M23">
        <v>0</v>
      </c>
      <c r="N23" t="s">
        <v>884</v>
      </c>
      <c r="O23" t="s">
        <v>885</v>
      </c>
      <c r="P23" s="70" t="s">
        <v>886</v>
      </c>
      <c r="Q23" t="s">
        <v>887</v>
      </c>
      <c r="R23"/>
      <c r="S23"/>
      <c r="T23"/>
      <c r="U23"/>
    </row>
    <row r="24" spans="1:28">
      <c r="A24">
        <v>23</v>
      </c>
      <c r="B24" s="18" t="s">
        <v>1132</v>
      </c>
      <c r="C24" s="66">
        <v>259</v>
      </c>
      <c r="D24" t="s">
        <v>54</v>
      </c>
      <c r="E24">
        <v>31417166</v>
      </c>
      <c r="F24">
        <v>31417179</v>
      </c>
      <c r="G24">
        <v>3.5855999999999999</v>
      </c>
      <c r="H24" t="s">
        <v>822</v>
      </c>
      <c r="I24" t="s">
        <v>822</v>
      </c>
      <c r="J24" t="s">
        <v>888</v>
      </c>
      <c r="K24">
        <v>11</v>
      </c>
      <c r="L24">
        <v>11</v>
      </c>
      <c r="M24">
        <v>0</v>
      </c>
      <c r="N24" t="s">
        <v>889</v>
      </c>
      <c r="O24" t="s">
        <v>890</v>
      </c>
      <c r="P24" s="66" t="s">
        <v>891</v>
      </c>
      <c r="Q24" t="s">
        <v>892</v>
      </c>
      <c r="V24" s="62"/>
      <c r="W24" s="62"/>
      <c r="X24" s="62"/>
      <c r="Y24" s="62"/>
      <c r="Z24" s="62"/>
      <c r="AA24" s="62"/>
      <c r="AB24" s="62"/>
    </row>
    <row r="25" spans="1:28" s="62" customFormat="1">
      <c r="A25">
        <v>24</v>
      </c>
      <c r="B25" s="18" t="s">
        <v>1133</v>
      </c>
      <c r="C25" s="70">
        <v>310</v>
      </c>
      <c r="D25" t="s">
        <v>44</v>
      </c>
      <c r="E25">
        <v>76784742</v>
      </c>
      <c r="F25">
        <v>76784758</v>
      </c>
      <c r="G25">
        <v>2.4434999999999998</v>
      </c>
      <c r="H25" t="s">
        <v>822</v>
      </c>
      <c r="I25" t="s">
        <v>822</v>
      </c>
      <c r="J25" t="s">
        <v>893</v>
      </c>
      <c r="K25">
        <v>15</v>
      </c>
      <c r="L25">
        <v>12</v>
      </c>
      <c r="M25">
        <v>0</v>
      </c>
      <c r="N25" t="s">
        <v>894</v>
      </c>
      <c r="O25" t="s">
        <v>895</v>
      </c>
      <c r="P25" s="70" t="s">
        <v>896</v>
      </c>
      <c r="Q25" t="s">
        <v>897</v>
      </c>
      <c r="R25"/>
      <c r="S25"/>
      <c r="T25"/>
      <c r="U25"/>
      <c r="V25"/>
      <c r="W25"/>
      <c r="X25"/>
      <c r="Y25"/>
      <c r="Z25"/>
      <c r="AA25"/>
      <c r="AB25"/>
    </row>
    <row r="26" spans="1:28" s="48" customFormat="1">
      <c r="A26" s="48">
        <v>25</v>
      </c>
      <c r="C26" s="49">
        <v>470</v>
      </c>
      <c r="D26" s="48" t="s">
        <v>49</v>
      </c>
      <c r="E26" s="48">
        <v>123230118</v>
      </c>
      <c r="F26" s="48">
        <v>123230132</v>
      </c>
      <c r="G26" s="48">
        <v>0.42970000000000003</v>
      </c>
      <c r="H26" s="48" t="s">
        <v>822</v>
      </c>
      <c r="I26" s="48" t="s">
        <v>822</v>
      </c>
      <c r="J26" s="48" t="s">
        <v>898</v>
      </c>
      <c r="K26" s="48">
        <v>11</v>
      </c>
      <c r="L26" s="48">
        <v>8</v>
      </c>
      <c r="M26" s="48">
        <v>0</v>
      </c>
      <c r="N26" s="48" t="s">
        <v>899</v>
      </c>
      <c r="O26" s="48" t="s">
        <v>900</v>
      </c>
      <c r="P26" s="49" t="s">
        <v>901</v>
      </c>
      <c r="Q26" s="48" t="s">
        <v>902</v>
      </c>
      <c r="V26" s="62"/>
      <c r="W26" s="62"/>
      <c r="X26" s="62"/>
      <c r="Y26" s="62"/>
      <c r="Z26" s="62"/>
      <c r="AA26" s="62"/>
      <c r="AB26" s="62"/>
    </row>
    <row r="27" spans="1:28" s="48" customFormat="1">
      <c r="A27" s="48">
        <v>26</v>
      </c>
      <c r="C27" s="49">
        <v>650</v>
      </c>
      <c r="D27" s="48" t="s">
        <v>41</v>
      </c>
      <c r="E27" s="48">
        <v>43381380</v>
      </c>
      <c r="F27" s="48">
        <v>43381392</v>
      </c>
      <c r="G27" s="48">
        <v>1.95E-2</v>
      </c>
      <c r="H27" s="48" t="s">
        <v>822</v>
      </c>
      <c r="I27" s="48" t="s">
        <v>822</v>
      </c>
      <c r="J27" s="48" t="s">
        <v>903</v>
      </c>
      <c r="K27" s="48">
        <v>8</v>
      </c>
      <c r="L27" s="48">
        <v>7</v>
      </c>
      <c r="M27" s="48">
        <v>0</v>
      </c>
      <c r="N27" s="48" t="s">
        <v>904</v>
      </c>
      <c r="O27" s="48" t="s">
        <v>905</v>
      </c>
      <c r="P27" s="49" t="s">
        <v>906</v>
      </c>
      <c r="Q27" s="48" t="s">
        <v>907</v>
      </c>
      <c r="V27" s="62"/>
      <c r="W27" s="62"/>
      <c r="X27" s="62"/>
      <c r="Y27" s="62"/>
      <c r="Z27" s="62"/>
      <c r="AA27" s="62"/>
      <c r="AB27" s="62"/>
    </row>
    <row r="28" spans="1:28">
      <c r="A28">
        <v>27</v>
      </c>
      <c r="B28" t="s">
        <v>1042</v>
      </c>
      <c r="C28" s="56">
        <v>51</v>
      </c>
      <c r="D28" t="s">
        <v>908</v>
      </c>
      <c r="E28">
        <v>46154203</v>
      </c>
      <c r="F28">
        <v>46154222</v>
      </c>
      <c r="G28">
        <v>46.9602</v>
      </c>
      <c r="H28" t="s">
        <v>823</v>
      </c>
      <c r="I28" t="s">
        <v>823</v>
      </c>
      <c r="J28" t="s">
        <v>824</v>
      </c>
      <c r="K28">
        <v>14</v>
      </c>
      <c r="L28">
        <v>13</v>
      </c>
      <c r="M28">
        <v>0</v>
      </c>
      <c r="N28" t="s">
        <v>909</v>
      </c>
      <c r="O28" t="s">
        <v>910</v>
      </c>
      <c r="P28" s="60">
        <v>1.9419319219219402E+41</v>
      </c>
      <c r="Q28" t="s">
        <v>911</v>
      </c>
      <c r="R28">
        <v>3</v>
      </c>
      <c r="S28" t="s">
        <v>914</v>
      </c>
      <c r="T28" t="s">
        <v>924</v>
      </c>
      <c r="V28">
        <v>18</v>
      </c>
      <c r="W28">
        <v>1</v>
      </c>
      <c r="X28" t="s">
        <v>1391</v>
      </c>
      <c r="Y28" t="s">
        <v>1390</v>
      </c>
      <c r="Z28" t="s">
        <v>1362</v>
      </c>
      <c r="AA28" t="s">
        <v>1361</v>
      </c>
      <c r="AB28" t="s">
        <v>1360</v>
      </c>
    </row>
    <row r="29" spans="1:28" s="48" customFormat="1">
      <c r="A29" s="48">
        <v>28</v>
      </c>
      <c r="C29" s="49">
        <v>81</v>
      </c>
      <c r="D29" s="48" t="s">
        <v>43</v>
      </c>
      <c r="E29" s="48">
        <v>136141064</v>
      </c>
      <c r="F29" s="48">
        <v>136141081</v>
      </c>
      <c r="G29" s="48">
        <v>31.262599999999999</v>
      </c>
      <c r="H29" s="48" t="s">
        <v>823</v>
      </c>
      <c r="I29" s="48" t="s">
        <v>823</v>
      </c>
      <c r="J29" s="48" t="s">
        <v>824</v>
      </c>
      <c r="K29" s="48">
        <v>12</v>
      </c>
      <c r="L29" s="48">
        <v>12</v>
      </c>
      <c r="M29" s="48">
        <v>0</v>
      </c>
      <c r="N29" s="48" t="s">
        <v>915</v>
      </c>
      <c r="O29" s="48" t="s">
        <v>916</v>
      </c>
      <c r="P29" s="65">
        <v>2.1120620520618501E+35</v>
      </c>
      <c r="Q29" s="48" t="s">
        <v>917</v>
      </c>
      <c r="R29" s="48">
        <v>6</v>
      </c>
      <c r="S29" s="48" t="s">
        <v>918</v>
      </c>
      <c r="T29" s="48" t="s">
        <v>922</v>
      </c>
    </row>
    <row r="30" spans="1:28" s="48" customFormat="1">
      <c r="A30" s="48">
        <v>29</v>
      </c>
      <c r="C30" s="49">
        <v>85</v>
      </c>
      <c r="D30" s="48" t="s">
        <v>55</v>
      </c>
      <c r="E30" s="48">
        <v>36323333</v>
      </c>
      <c r="F30" s="48">
        <v>36323359</v>
      </c>
      <c r="G30" s="48">
        <v>27.984100000000002</v>
      </c>
      <c r="H30" s="48" t="s">
        <v>823</v>
      </c>
      <c r="I30" s="48" t="s">
        <v>823</v>
      </c>
      <c r="J30" s="48" t="s">
        <v>824</v>
      </c>
      <c r="K30" s="48">
        <v>16</v>
      </c>
      <c r="L30" s="48">
        <v>15</v>
      </c>
      <c r="M30" s="48">
        <v>0</v>
      </c>
      <c r="N30" s="48" t="s">
        <v>919</v>
      </c>
      <c r="O30" s="48" t="s">
        <v>920</v>
      </c>
      <c r="P30" s="65">
        <v>1.32132131129128E+47</v>
      </c>
      <c r="Q30" s="48" t="s">
        <v>921</v>
      </c>
      <c r="R30" s="48">
        <v>5</v>
      </c>
      <c r="S30" s="48" t="s">
        <v>918</v>
      </c>
      <c r="T30" s="48" t="s">
        <v>922</v>
      </c>
      <c r="V30"/>
      <c r="W30"/>
      <c r="X30"/>
      <c r="Y30"/>
      <c r="Z30"/>
      <c r="AA30"/>
      <c r="AB30"/>
    </row>
    <row r="31" spans="1:28" s="62" customFormat="1">
      <c r="A31">
        <v>30</v>
      </c>
      <c r="B31" t="s">
        <v>1044</v>
      </c>
      <c r="C31" s="56">
        <v>92</v>
      </c>
      <c r="D31" t="s">
        <v>54</v>
      </c>
      <c r="E31">
        <v>22466320</v>
      </c>
      <c r="F31">
        <v>22466337</v>
      </c>
      <c r="G31">
        <v>25.265499999999999</v>
      </c>
      <c r="H31" t="s">
        <v>823</v>
      </c>
      <c r="I31" t="s">
        <v>823</v>
      </c>
      <c r="J31" t="s">
        <v>824</v>
      </c>
      <c r="K31">
        <v>12</v>
      </c>
      <c r="L31">
        <v>12</v>
      </c>
      <c r="M31">
        <v>0</v>
      </c>
      <c r="N31" t="s">
        <v>926</v>
      </c>
      <c r="O31" t="s">
        <v>927</v>
      </c>
      <c r="P31" s="60">
        <v>1.4514314314414299E+35</v>
      </c>
      <c r="Q31" t="s">
        <v>928</v>
      </c>
      <c r="R31">
        <v>3</v>
      </c>
      <c r="S31" t="s">
        <v>925</v>
      </c>
      <c r="T31" t="s">
        <v>924</v>
      </c>
      <c r="U31"/>
      <c r="V31">
        <v>16</v>
      </c>
      <c r="W31">
        <v>0</v>
      </c>
      <c r="X31" s="104" t="s">
        <v>1385</v>
      </c>
      <c r="Y31" t="s">
        <v>1384</v>
      </c>
      <c r="Z31" t="s">
        <v>1383</v>
      </c>
      <c r="AA31" t="s">
        <v>1382</v>
      </c>
      <c r="AB31" t="s">
        <v>1360</v>
      </c>
    </row>
    <row r="32" spans="1:28" s="32" customFormat="1">
      <c r="A32">
        <v>31</v>
      </c>
      <c r="B32" t="s">
        <v>1052</v>
      </c>
      <c r="C32" s="50">
        <v>124</v>
      </c>
      <c r="D32" s="32" t="s">
        <v>49</v>
      </c>
      <c r="E32" s="32">
        <v>139697197</v>
      </c>
      <c r="F32" s="32">
        <v>139697211</v>
      </c>
      <c r="G32" s="32">
        <v>17.332899999999999</v>
      </c>
      <c r="H32" s="32" t="s">
        <v>823</v>
      </c>
      <c r="I32" s="32" t="s">
        <v>823</v>
      </c>
      <c r="J32" s="32" t="s">
        <v>824</v>
      </c>
      <c r="K32" s="32">
        <v>13</v>
      </c>
      <c r="L32" s="32">
        <v>12</v>
      </c>
      <c r="M32" s="32">
        <v>0</v>
      </c>
      <c r="N32" s="32" t="s">
        <v>930</v>
      </c>
      <c r="O32" s="32" t="s">
        <v>931</v>
      </c>
      <c r="P32" s="50" t="s">
        <v>932</v>
      </c>
      <c r="Q32" s="32" t="s">
        <v>933</v>
      </c>
      <c r="R32" s="32">
        <v>5</v>
      </c>
      <c r="S32" s="32" t="s">
        <v>929</v>
      </c>
      <c r="T32" s="32" t="s">
        <v>922</v>
      </c>
      <c r="V32">
        <v>16</v>
      </c>
      <c r="W32">
        <v>3</v>
      </c>
      <c r="X32" t="s">
        <v>1381</v>
      </c>
      <c r="Y32" t="s">
        <v>1380</v>
      </c>
      <c r="Z32" s="103" t="s">
        <v>1366</v>
      </c>
      <c r="AA32" t="s">
        <v>1361</v>
      </c>
      <c r="AB32" t="s">
        <v>1365</v>
      </c>
    </row>
    <row r="33" spans="1:28" s="32" customFormat="1">
      <c r="A33">
        <v>32</v>
      </c>
      <c r="B33" t="s">
        <v>1053</v>
      </c>
      <c r="C33" s="50">
        <v>141</v>
      </c>
      <c r="D33" s="32" t="s">
        <v>56</v>
      </c>
      <c r="E33" s="32">
        <v>31795049</v>
      </c>
      <c r="F33" s="32">
        <v>31795067</v>
      </c>
      <c r="G33" s="32">
        <v>13.7333</v>
      </c>
      <c r="H33" s="32" t="s">
        <v>823</v>
      </c>
      <c r="I33" s="32" t="s">
        <v>823</v>
      </c>
      <c r="J33" s="32" t="s">
        <v>824</v>
      </c>
      <c r="K33" s="32">
        <v>14</v>
      </c>
      <c r="L33" s="32">
        <v>14</v>
      </c>
      <c r="M33" s="32">
        <v>0</v>
      </c>
      <c r="N33" s="32" t="s">
        <v>934</v>
      </c>
      <c r="O33" s="32" t="s">
        <v>935</v>
      </c>
      <c r="P33" s="50" t="s">
        <v>936</v>
      </c>
      <c r="Q33" s="32" t="s">
        <v>937</v>
      </c>
      <c r="R33" s="32">
        <v>3</v>
      </c>
      <c r="S33" s="32" t="s">
        <v>914</v>
      </c>
      <c r="T33" s="32" t="s">
        <v>922</v>
      </c>
      <c r="V33">
        <v>14</v>
      </c>
      <c r="W33">
        <v>5</v>
      </c>
      <c r="X33" t="s">
        <v>1379</v>
      </c>
      <c r="Y33" t="s">
        <v>1378</v>
      </c>
      <c r="Z33" t="s">
        <v>1377</v>
      </c>
      <c r="AA33" t="s">
        <v>1361</v>
      </c>
      <c r="AB33" t="s">
        <v>1365</v>
      </c>
    </row>
    <row r="34" spans="1:28" s="48" customFormat="1">
      <c r="A34" s="48">
        <v>33</v>
      </c>
      <c r="C34" s="49">
        <v>143</v>
      </c>
      <c r="D34" s="48" t="s">
        <v>55</v>
      </c>
      <c r="E34" s="48">
        <v>942747</v>
      </c>
      <c r="F34" s="48">
        <v>942766</v>
      </c>
      <c r="G34" s="48">
        <v>13.5808</v>
      </c>
      <c r="H34" s="48" t="s">
        <v>823</v>
      </c>
      <c r="I34" s="48" t="s">
        <v>823</v>
      </c>
      <c r="J34" s="48" t="s">
        <v>824</v>
      </c>
      <c r="K34" s="48">
        <v>14</v>
      </c>
      <c r="L34" s="48">
        <v>14</v>
      </c>
      <c r="M34" s="48">
        <v>0</v>
      </c>
      <c r="N34" s="48" t="s">
        <v>939</v>
      </c>
      <c r="O34" s="48" t="s">
        <v>940</v>
      </c>
      <c r="P34" s="49" t="s">
        <v>941</v>
      </c>
      <c r="Q34" s="48" t="s">
        <v>942</v>
      </c>
      <c r="R34" s="48">
        <v>3</v>
      </c>
      <c r="S34" s="48" t="s">
        <v>938</v>
      </c>
      <c r="T34" s="48" t="s">
        <v>924</v>
      </c>
    </row>
    <row r="35" spans="1:28">
      <c r="A35">
        <v>34</v>
      </c>
      <c r="B35" t="s">
        <v>1069</v>
      </c>
      <c r="C35" s="56">
        <v>148</v>
      </c>
      <c r="D35" t="s">
        <v>46</v>
      </c>
      <c r="E35">
        <v>5620020</v>
      </c>
      <c r="F35">
        <v>5620043</v>
      </c>
      <c r="G35">
        <v>12.801500000000001</v>
      </c>
      <c r="H35" t="s">
        <v>823</v>
      </c>
      <c r="I35" t="s">
        <v>823</v>
      </c>
      <c r="J35" t="s">
        <v>824</v>
      </c>
      <c r="K35">
        <v>14</v>
      </c>
      <c r="L35">
        <v>12</v>
      </c>
      <c r="M35">
        <v>0</v>
      </c>
      <c r="N35" t="s">
        <v>943</v>
      </c>
      <c r="O35" t="s">
        <v>944</v>
      </c>
      <c r="P35" s="60">
        <v>1.2112211711711501E+41</v>
      </c>
      <c r="Q35" t="s">
        <v>945</v>
      </c>
      <c r="R35">
        <v>2</v>
      </c>
      <c r="S35" t="s">
        <v>914</v>
      </c>
      <c r="T35" t="s">
        <v>924</v>
      </c>
      <c r="V35">
        <v>14</v>
      </c>
      <c r="W35">
        <v>4</v>
      </c>
      <c r="X35" t="s">
        <v>1376</v>
      </c>
      <c r="Y35" t="s">
        <v>1375</v>
      </c>
      <c r="Z35" t="s">
        <v>1374</v>
      </c>
      <c r="AA35" t="s">
        <v>1361</v>
      </c>
      <c r="AB35" t="s">
        <v>1365</v>
      </c>
    </row>
    <row r="36" spans="1:28">
      <c r="A36">
        <v>35</v>
      </c>
      <c r="B36" t="s">
        <v>1063</v>
      </c>
      <c r="C36" s="66">
        <v>165</v>
      </c>
      <c r="D36" t="s">
        <v>48</v>
      </c>
      <c r="E36">
        <v>95073657</v>
      </c>
      <c r="F36">
        <v>95073669</v>
      </c>
      <c r="G36">
        <v>9.9557000000000002</v>
      </c>
      <c r="H36" t="s">
        <v>823</v>
      </c>
      <c r="I36" t="s">
        <v>823</v>
      </c>
      <c r="J36" t="s">
        <v>824</v>
      </c>
      <c r="K36">
        <v>10</v>
      </c>
      <c r="L36">
        <v>10</v>
      </c>
      <c r="M36">
        <v>0</v>
      </c>
      <c r="N36" t="s">
        <v>947</v>
      </c>
      <c r="O36" t="s">
        <v>948</v>
      </c>
      <c r="P36" s="66" t="s">
        <v>949</v>
      </c>
      <c r="Q36" t="s">
        <v>950</v>
      </c>
      <c r="R36">
        <v>4</v>
      </c>
      <c r="S36" t="s">
        <v>946</v>
      </c>
      <c r="T36" t="s">
        <v>922</v>
      </c>
      <c r="V36">
        <v>13</v>
      </c>
      <c r="W36">
        <v>7</v>
      </c>
      <c r="X36" t="s">
        <v>1373</v>
      </c>
      <c r="Y36" t="s">
        <v>1372</v>
      </c>
      <c r="Z36" t="s">
        <v>1371</v>
      </c>
      <c r="AA36" t="s">
        <v>1361</v>
      </c>
      <c r="AB36" t="s">
        <v>1365</v>
      </c>
    </row>
    <row r="37" spans="1:28" s="32" customFormat="1">
      <c r="A37">
        <v>36</v>
      </c>
      <c r="B37" t="s">
        <v>1064</v>
      </c>
      <c r="C37" s="50">
        <v>170</v>
      </c>
      <c r="D37" s="32" t="s">
        <v>55</v>
      </c>
      <c r="E37" s="32">
        <v>1033043</v>
      </c>
      <c r="F37" s="32">
        <v>1033058</v>
      </c>
      <c r="G37" s="32">
        <v>9.6</v>
      </c>
      <c r="H37" s="32" t="s">
        <v>823</v>
      </c>
      <c r="I37" s="32" t="s">
        <v>823</v>
      </c>
      <c r="J37" s="32" t="s">
        <v>824</v>
      </c>
      <c r="K37" s="32">
        <v>12</v>
      </c>
      <c r="L37" s="32">
        <v>12</v>
      </c>
      <c r="M37" s="32">
        <v>0</v>
      </c>
      <c r="N37" s="32" t="s">
        <v>953</v>
      </c>
      <c r="O37" s="32" t="s">
        <v>954</v>
      </c>
      <c r="P37" s="50" t="s">
        <v>955</v>
      </c>
      <c r="Q37" s="32" t="s">
        <v>956</v>
      </c>
      <c r="R37" s="32">
        <v>5</v>
      </c>
      <c r="S37" s="32" t="s">
        <v>951</v>
      </c>
      <c r="T37" s="32" t="s">
        <v>922</v>
      </c>
      <c r="U37" s="32" t="s">
        <v>952</v>
      </c>
      <c r="V37">
        <v>15</v>
      </c>
      <c r="W37">
        <v>4</v>
      </c>
      <c r="X37" t="s">
        <v>1370</v>
      </c>
      <c r="Y37" t="s">
        <v>1369</v>
      </c>
      <c r="Z37" s="103" t="s">
        <v>1366</v>
      </c>
      <c r="AA37" t="s">
        <v>1361</v>
      </c>
      <c r="AB37" t="s">
        <v>1360</v>
      </c>
    </row>
    <row r="38" spans="1:28" s="48" customFormat="1">
      <c r="A38" s="48">
        <v>37</v>
      </c>
      <c r="C38" s="49">
        <v>211</v>
      </c>
      <c r="D38" s="48" t="s">
        <v>41</v>
      </c>
      <c r="E38" s="48">
        <v>241932519</v>
      </c>
      <c r="F38" s="48">
        <v>241932532</v>
      </c>
      <c r="G38" s="48">
        <v>5.899</v>
      </c>
      <c r="H38" s="48" t="s">
        <v>823</v>
      </c>
      <c r="I38" s="48" t="s">
        <v>823</v>
      </c>
      <c r="J38" s="48" t="s">
        <v>824</v>
      </c>
      <c r="K38" s="48">
        <v>10</v>
      </c>
      <c r="L38" s="48">
        <v>10</v>
      </c>
      <c r="M38" s="48">
        <v>0</v>
      </c>
      <c r="N38" s="48" t="s">
        <v>959</v>
      </c>
      <c r="O38" s="48" t="s">
        <v>960</v>
      </c>
      <c r="P38" s="49" t="s">
        <v>961</v>
      </c>
      <c r="Q38" s="48" t="s">
        <v>962</v>
      </c>
      <c r="R38" s="64" t="s">
        <v>957</v>
      </c>
      <c r="S38" s="48" t="s">
        <v>958</v>
      </c>
      <c r="T38" s="48" t="s">
        <v>924</v>
      </c>
      <c r="V38"/>
      <c r="W38"/>
      <c r="X38"/>
      <c r="Y38"/>
      <c r="Z38"/>
      <c r="AA38"/>
      <c r="AB38"/>
    </row>
    <row r="39" spans="1:28" s="62" customFormat="1">
      <c r="A39">
        <v>38</v>
      </c>
      <c r="B39" t="s">
        <v>1126</v>
      </c>
      <c r="C39" s="56">
        <v>325</v>
      </c>
      <c r="D39" t="s">
        <v>964</v>
      </c>
      <c r="E39">
        <v>15438187</v>
      </c>
      <c r="F39">
        <v>15438203</v>
      </c>
      <c r="G39">
        <v>2.2246000000000001</v>
      </c>
      <c r="H39" t="s">
        <v>823</v>
      </c>
      <c r="I39" t="s">
        <v>823</v>
      </c>
      <c r="J39" t="s">
        <v>824</v>
      </c>
      <c r="K39">
        <v>13</v>
      </c>
      <c r="L39">
        <v>11</v>
      </c>
      <c r="M39">
        <v>0</v>
      </c>
      <c r="N39" t="s">
        <v>965</v>
      </c>
      <c r="O39" t="s">
        <v>966</v>
      </c>
      <c r="P39" s="70" t="s">
        <v>967</v>
      </c>
      <c r="Q39" t="s">
        <v>968</v>
      </c>
      <c r="R39" s="71" t="s">
        <v>957</v>
      </c>
      <c r="S39" t="s">
        <v>963</v>
      </c>
      <c r="T39" t="s">
        <v>922</v>
      </c>
      <c r="U39"/>
      <c r="V39">
        <v>17</v>
      </c>
      <c r="W39">
        <v>2</v>
      </c>
      <c r="X39" t="s">
        <v>1368</v>
      </c>
      <c r="Y39" s="21" t="s">
        <v>1367</v>
      </c>
      <c r="Z39" s="103" t="s">
        <v>1366</v>
      </c>
      <c r="AA39" t="s">
        <v>1361</v>
      </c>
      <c r="AB39" t="s">
        <v>1365</v>
      </c>
    </row>
    <row r="40" spans="1:28">
      <c r="A40">
        <v>39</v>
      </c>
      <c r="B40" t="s">
        <v>1066</v>
      </c>
      <c r="C40" s="70">
        <v>424</v>
      </c>
      <c r="D40" t="s">
        <v>56</v>
      </c>
      <c r="E40">
        <v>28251609</v>
      </c>
      <c r="F40">
        <v>28251636</v>
      </c>
      <c r="G40">
        <v>0.79210000000000003</v>
      </c>
      <c r="H40" t="s">
        <v>823</v>
      </c>
      <c r="I40" t="s">
        <v>823</v>
      </c>
      <c r="J40" t="s">
        <v>824</v>
      </c>
      <c r="K40">
        <v>14</v>
      </c>
      <c r="L40">
        <v>12</v>
      </c>
      <c r="M40">
        <v>0</v>
      </c>
      <c r="N40" t="s">
        <v>970</v>
      </c>
      <c r="O40" t="s">
        <v>971</v>
      </c>
      <c r="P40" s="70" t="s">
        <v>972</v>
      </c>
      <c r="Q40" t="s">
        <v>973</v>
      </c>
      <c r="R40">
        <v>3</v>
      </c>
      <c r="S40" t="s">
        <v>918</v>
      </c>
      <c r="T40" t="s">
        <v>969</v>
      </c>
      <c r="V40">
        <v>17</v>
      </c>
      <c r="W40">
        <v>2</v>
      </c>
      <c r="X40" s="103" t="s">
        <v>1364</v>
      </c>
      <c r="Y40" t="s">
        <v>1363</v>
      </c>
      <c r="Z40" t="s">
        <v>1362</v>
      </c>
      <c r="AA40" t="s">
        <v>1361</v>
      </c>
      <c r="AB40" t="s">
        <v>1360</v>
      </c>
    </row>
    <row r="41" spans="1:28">
      <c r="A41">
        <v>40</v>
      </c>
      <c r="B41" t="s">
        <v>1111</v>
      </c>
      <c r="C41" s="70">
        <v>517</v>
      </c>
      <c r="D41" t="s">
        <v>53</v>
      </c>
      <c r="E41">
        <v>79272594</v>
      </c>
      <c r="F41">
        <v>79272605</v>
      </c>
      <c r="G41">
        <v>0.25629999999999997</v>
      </c>
      <c r="H41" t="s">
        <v>823</v>
      </c>
      <c r="I41" t="s">
        <v>823</v>
      </c>
      <c r="J41" t="s">
        <v>824</v>
      </c>
      <c r="K41">
        <v>10</v>
      </c>
      <c r="L41">
        <v>7</v>
      </c>
      <c r="M41">
        <v>0</v>
      </c>
      <c r="N41" t="s">
        <v>974</v>
      </c>
      <c r="O41" t="s">
        <v>975</v>
      </c>
      <c r="P41" s="70" t="s">
        <v>976</v>
      </c>
      <c r="Q41" t="s">
        <v>977</v>
      </c>
      <c r="R41">
        <v>4</v>
      </c>
      <c r="S41" t="s">
        <v>914</v>
      </c>
      <c r="T41" t="s">
        <v>924</v>
      </c>
      <c r="V41">
        <v>17</v>
      </c>
      <c r="W41">
        <v>2</v>
      </c>
      <c r="X41" t="s">
        <v>1389</v>
      </c>
      <c r="Y41" t="s">
        <v>1388</v>
      </c>
      <c r="Z41" s="103" t="s">
        <v>1366</v>
      </c>
      <c r="AA41" t="s">
        <v>1361</v>
      </c>
      <c r="AB41" t="s">
        <v>1365</v>
      </c>
    </row>
    <row r="42" spans="1:28" s="62" customFormat="1">
      <c r="A42">
        <v>41</v>
      </c>
      <c r="B42" t="s">
        <v>1116</v>
      </c>
      <c r="C42" s="70">
        <v>605</v>
      </c>
      <c r="D42" t="s">
        <v>55</v>
      </c>
      <c r="E42">
        <v>47726203</v>
      </c>
      <c r="F42">
        <v>47726227</v>
      </c>
      <c r="G42">
        <v>6.6400000000000001E-2</v>
      </c>
      <c r="H42" t="s">
        <v>823</v>
      </c>
      <c r="I42" t="s">
        <v>823</v>
      </c>
      <c r="J42" t="s">
        <v>824</v>
      </c>
      <c r="K42">
        <v>10</v>
      </c>
      <c r="L42">
        <v>10</v>
      </c>
      <c r="M42">
        <v>0</v>
      </c>
      <c r="N42" t="s">
        <v>978</v>
      </c>
      <c r="O42" t="s">
        <v>979</v>
      </c>
      <c r="P42" s="70" t="s">
        <v>980</v>
      </c>
      <c r="Q42" t="s">
        <v>981</v>
      </c>
      <c r="R42">
        <v>3</v>
      </c>
      <c r="S42" t="s">
        <v>982</v>
      </c>
      <c r="T42" t="s">
        <v>922</v>
      </c>
      <c r="U42"/>
      <c r="V42">
        <v>12</v>
      </c>
      <c r="W42">
        <v>8</v>
      </c>
      <c r="X42" t="s">
        <v>1387</v>
      </c>
      <c r="Y42" t="s">
        <v>1386</v>
      </c>
      <c r="Z42" t="s">
        <v>1371</v>
      </c>
      <c r="AA42" t="s">
        <v>1361</v>
      </c>
      <c r="AB42" t="s">
        <v>1360</v>
      </c>
    </row>
    <row r="43" spans="1:28" s="62" customFormat="1">
      <c r="A43">
        <v>42</v>
      </c>
      <c r="B43" t="s">
        <v>1119</v>
      </c>
      <c r="C43" s="70">
        <v>628</v>
      </c>
      <c r="D43" t="s">
        <v>41</v>
      </c>
      <c r="E43">
        <v>96817559</v>
      </c>
      <c r="F43">
        <v>96817565</v>
      </c>
      <c r="G43">
        <v>3.9800000000000002E-2</v>
      </c>
      <c r="H43" t="s">
        <v>823</v>
      </c>
      <c r="I43" t="s">
        <v>823</v>
      </c>
      <c r="J43" t="s">
        <v>824</v>
      </c>
      <c r="K43">
        <v>6</v>
      </c>
      <c r="L43">
        <v>3</v>
      </c>
      <c r="M43">
        <v>0</v>
      </c>
      <c r="N43" t="s">
        <v>983</v>
      </c>
      <c r="O43" t="s">
        <v>984</v>
      </c>
      <c r="P43" s="70" t="s">
        <v>985</v>
      </c>
      <c r="Q43" t="s">
        <v>986</v>
      </c>
      <c r="R43"/>
      <c r="S43"/>
      <c r="T43"/>
      <c r="U43"/>
      <c r="V43"/>
      <c r="W43"/>
      <c r="X43"/>
      <c r="Y43"/>
      <c r="Z43"/>
      <c r="AA43"/>
      <c r="AB43"/>
    </row>
    <row r="44" spans="1:28" s="48" customFormat="1">
      <c r="A44" s="48">
        <v>43</v>
      </c>
      <c r="C44" s="49">
        <v>652</v>
      </c>
      <c r="D44" s="48" t="s">
        <v>46</v>
      </c>
      <c r="E44" s="48">
        <v>59749941</v>
      </c>
      <c r="F44" s="48">
        <v>59749976</v>
      </c>
      <c r="G44" s="48">
        <v>1.9199999999999998E-2</v>
      </c>
      <c r="H44" s="48" t="s">
        <v>823</v>
      </c>
      <c r="I44" s="48" t="s">
        <v>823</v>
      </c>
      <c r="J44" s="48" t="s">
        <v>824</v>
      </c>
      <c r="K44" s="48">
        <v>7</v>
      </c>
      <c r="L44" s="48">
        <v>6</v>
      </c>
      <c r="M44" s="48">
        <v>0</v>
      </c>
      <c r="N44" s="48" t="s">
        <v>987</v>
      </c>
      <c r="O44" s="48" t="s">
        <v>988</v>
      </c>
      <c r="P44" s="49" t="s">
        <v>989</v>
      </c>
      <c r="Q44" s="48" t="s">
        <v>990</v>
      </c>
      <c r="R44" s="48">
        <v>3</v>
      </c>
      <c r="S44" s="48" t="s">
        <v>991</v>
      </c>
      <c r="T44" s="48" t="s">
        <v>922</v>
      </c>
      <c r="U44" s="48" t="s">
        <v>992</v>
      </c>
    </row>
    <row r="45" spans="1:28">
      <c r="A45">
        <v>44</v>
      </c>
      <c r="B45" t="s">
        <v>1134</v>
      </c>
      <c r="C45" s="70">
        <v>45</v>
      </c>
      <c r="D45" t="s">
        <v>43</v>
      </c>
      <c r="E45">
        <v>94648646</v>
      </c>
      <c r="F45">
        <v>94648659</v>
      </c>
      <c r="G45">
        <v>51.380099999999999</v>
      </c>
      <c r="H45" t="s">
        <v>823</v>
      </c>
      <c r="I45" t="s">
        <v>823</v>
      </c>
      <c r="J45" t="s">
        <v>824</v>
      </c>
      <c r="K45">
        <v>11</v>
      </c>
      <c r="L45">
        <v>11</v>
      </c>
      <c r="M45">
        <v>0</v>
      </c>
      <c r="N45" t="s">
        <v>1088</v>
      </c>
      <c r="O45" t="s">
        <v>1089</v>
      </c>
      <c r="P45" s="60">
        <v>2.08212210207204E+32</v>
      </c>
      <c r="Q45" t="s">
        <v>1090</v>
      </c>
    </row>
    <row r="46" spans="1:28" s="48" customFormat="1">
      <c r="A46" s="48">
        <v>45</v>
      </c>
      <c r="C46" s="49">
        <v>140</v>
      </c>
      <c r="D46" s="48" t="s">
        <v>40</v>
      </c>
      <c r="E46" s="48">
        <v>47451461</v>
      </c>
      <c r="F46" s="48">
        <v>47451474</v>
      </c>
      <c r="G46" s="48">
        <v>14.040699999999999</v>
      </c>
      <c r="H46" s="48" t="s">
        <v>823</v>
      </c>
      <c r="I46" s="48" t="s">
        <v>823</v>
      </c>
      <c r="J46" s="48" t="s">
        <v>824</v>
      </c>
      <c r="K46" s="48">
        <v>10</v>
      </c>
      <c r="L46" s="48">
        <v>10</v>
      </c>
      <c r="M46" s="48">
        <v>0</v>
      </c>
      <c r="N46" s="48" t="s">
        <v>1091</v>
      </c>
      <c r="O46" s="48" t="s">
        <v>1092</v>
      </c>
      <c r="P46" s="49" t="s">
        <v>1093</v>
      </c>
      <c r="Q46" s="48" t="s">
        <v>1094</v>
      </c>
      <c r="V46"/>
      <c r="W46"/>
      <c r="X46"/>
      <c r="Y46"/>
      <c r="Z46"/>
      <c r="AA46"/>
      <c r="AB46"/>
    </row>
    <row r="47" spans="1:28">
      <c r="A47">
        <v>46</v>
      </c>
      <c r="B47" t="s">
        <v>1144</v>
      </c>
      <c r="C47" s="70">
        <v>142</v>
      </c>
      <c r="D47" t="s">
        <v>47</v>
      </c>
      <c r="E47">
        <v>110087653</v>
      </c>
      <c r="F47">
        <v>110087669</v>
      </c>
      <c r="G47">
        <v>13.657299999999999</v>
      </c>
      <c r="H47" t="s">
        <v>823</v>
      </c>
      <c r="I47" t="s">
        <v>823</v>
      </c>
      <c r="J47" t="s">
        <v>824</v>
      </c>
      <c r="K47">
        <v>11</v>
      </c>
      <c r="L47">
        <v>11</v>
      </c>
      <c r="M47">
        <v>0</v>
      </c>
      <c r="N47" t="s">
        <v>1095</v>
      </c>
      <c r="O47" t="s">
        <v>1096</v>
      </c>
      <c r="P47" s="70" t="s">
        <v>1097</v>
      </c>
      <c r="Q47" t="s">
        <v>1098</v>
      </c>
    </row>
    <row r="48" spans="1:28" s="48" customFormat="1">
      <c r="A48" s="48">
        <v>47</v>
      </c>
      <c r="C48" s="49">
        <v>175</v>
      </c>
      <c r="D48" s="48" t="s">
        <v>57</v>
      </c>
      <c r="E48" s="48">
        <v>101133214</v>
      </c>
      <c r="F48" s="48">
        <v>101133244</v>
      </c>
      <c r="G48" s="48">
        <v>8.8706999999999994</v>
      </c>
      <c r="H48" s="48" t="s">
        <v>823</v>
      </c>
      <c r="I48" s="48" t="s">
        <v>823</v>
      </c>
      <c r="J48" s="48" t="s">
        <v>824</v>
      </c>
      <c r="K48" s="48">
        <v>16</v>
      </c>
      <c r="L48" s="48">
        <v>14</v>
      </c>
      <c r="M48" s="48">
        <v>0</v>
      </c>
      <c r="N48" s="48" t="s">
        <v>1099</v>
      </c>
      <c r="O48" s="48" t="s">
        <v>1100</v>
      </c>
      <c r="P48" s="49" t="s">
        <v>1101</v>
      </c>
      <c r="Q48" s="48" t="s">
        <v>1102</v>
      </c>
    </row>
    <row r="49" spans="1:38">
      <c r="A49">
        <v>48</v>
      </c>
      <c r="B49" t="s">
        <v>1145</v>
      </c>
      <c r="C49" s="70">
        <v>177</v>
      </c>
      <c r="D49" t="s">
        <v>58</v>
      </c>
      <c r="E49">
        <v>50267491</v>
      </c>
      <c r="F49">
        <v>50267506</v>
      </c>
      <c r="G49">
        <v>8.7949999999999999</v>
      </c>
      <c r="H49" t="s">
        <v>823</v>
      </c>
      <c r="I49" t="s">
        <v>823</v>
      </c>
      <c r="J49" t="s">
        <v>824</v>
      </c>
      <c r="K49">
        <v>10</v>
      </c>
      <c r="L49">
        <v>10</v>
      </c>
      <c r="M49">
        <v>0</v>
      </c>
      <c r="N49" t="s">
        <v>1103</v>
      </c>
      <c r="O49" t="s">
        <v>1104</v>
      </c>
      <c r="P49" s="70" t="s">
        <v>1105</v>
      </c>
      <c r="Q49" t="s">
        <v>1106</v>
      </c>
    </row>
    <row r="50" spans="1:38" s="48" customFormat="1">
      <c r="A50" s="48">
        <v>49</v>
      </c>
      <c r="C50" s="49">
        <v>211</v>
      </c>
      <c r="D50" s="48" t="s">
        <v>41</v>
      </c>
      <c r="E50" s="48">
        <v>241932519</v>
      </c>
      <c r="F50" s="48">
        <v>241932532</v>
      </c>
      <c r="G50" s="48">
        <v>5.899</v>
      </c>
      <c r="H50" s="48" t="s">
        <v>823</v>
      </c>
      <c r="I50" s="48" t="s">
        <v>823</v>
      </c>
      <c r="J50" s="48" t="s">
        <v>824</v>
      </c>
      <c r="K50" s="48">
        <v>10</v>
      </c>
      <c r="L50" s="48">
        <v>10</v>
      </c>
      <c r="M50" s="48">
        <v>0</v>
      </c>
      <c r="N50" s="48" t="s">
        <v>959</v>
      </c>
      <c r="O50" s="48" t="s">
        <v>960</v>
      </c>
      <c r="P50" s="49" t="s">
        <v>961</v>
      </c>
      <c r="Q50" s="48" t="s">
        <v>962</v>
      </c>
      <c r="V50"/>
      <c r="W50"/>
      <c r="X50"/>
      <c r="Y50"/>
      <c r="Z50"/>
      <c r="AA50"/>
      <c r="AB50"/>
    </row>
    <row r="51" spans="1:38">
      <c r="A51">
        <v>50</v>
      </c>
      <c r="B51" t="s">
        <v>1146</v>
      </c>
      <c r="C51" s="70">
        <v>222</v>
      </c>
      <c r="D51" t="s">
        <v>53</v>
      </c>
      <c r="E51">
        <v>17810730</v>
      </c>
      <c r="F51">
        <v>17810747</v>
      </c>
      <c r="G51">
        <v>5.1462000000000003</v>
      </c>
      <c r="H51" t="s">
        <v>823</v>
      </c>
      <c r="I51" t="s">
        <v>823</v>
      </c>
      <c r="J51" t="s">
        <v>824</v>
      </c>
      <c r="K51">
        <v>12</v>
      </c>
      <c r="L51">
        <v>12</v>
      </c>
      <c r="M51">
        <v>0</v>
      </c>
      <c r="N51" t="s">
        <v>1107</v>
      </c>
      <c r="O51" t="s">
        <v>1108</v>
      </c>
      <c r="P51" s="70" t="s">
        <v>1109</v>
      </c>
      <c r="Q51" t="s">
        <v>1110</v>
      </c>
    </row>
    <row r="52" spans="1:38">
      <c r="A52" s="32"/>
    </row>
    <row r="57" spans="1:38">
      <c r="A57" t="s">
        <v>1631</v>
      </c>
      <c r="B57" t="s">
        <v>605</v>
      </c>
      <c r="C57" t="s">
        <v>808</v>
      </c>
      <c r="D57" t="s">
        <v>809</v>
      </c>
      <c r="E57" t="s">
        <v>810</v>
      </c>
      <c r="F57" t="s">
        <v>1402</v>
      </c>
      <c r="G57" t="s">
        <v>818</v>
      </c>
      <c r="H57" t="s">
        <v>1403</v>
      </c>
      <c r="I57" t="s">
        <v>1404</v>
      </c>
      <c r="J57" t="s">
        <v>1405</v>
      </c>
      <c r="K57" t="s">
        <v>1406</v>
      </c>
      <c r="L57" t="s">
        <v>1407</v>
      </c>
      <c r="M57" t="s">
        <v>1408</v>
      </c>
      <c r="N57" t="s">
        <v>1409</v>
      </c>
      <c r="O57" t="s">
        <v>1410</v>
      </c>
      <c r="P57" t="s">
        <v>1411</v>
      </c>
      <c r="Q57" t="s">
        <v>1412</v>
      </c>
      <c r="R57" t="s">
        <v>1413</v>
      </c>
      <c r="S57" t="s">
        <v>1414</v>
      </c>
      <c r="T57" t="s">
        <v>1415</v>
      </c>
      <c r="U57" t="s">
        <v>1416</v>
      </c>
      <c r="V57" t="s">
        <v>1417</v>
      </c>
      <c r="W57" t="s">
        <v>1418</v>
      </c>
      <c r="X57" t="s">
        <v>1419</v>
      </c>
      <c r="Y57" t="s">
        <v>1420</v>
      </c>
      <c r="Z57" t="s">
        <v>1421</v>
      </c>
      <c r="AA57" t="s">
        <v>1422</v>
      </c>
      <c r="AB57" t="s">
        <v>1423</v>
      </c>
      <c r="AC57" t="s">
        <v>1424</v>
      </c>
      <c r="AD57" t="s">
        <v>811</v>
      </c>
      <c r="AE57" t="s">
        <v>812</v>
      </c>
      <c r="AF57" t="s">
        <v>813</v>
      </c>
      <c r="AG57" t="s">
        <v>814</v>
      </c>
      <c r="AH57" t="s">
        <v>815</v>
      </c>
      <c r="AI57" t="s">
        <v>816</v>
      </c>
      <c r="AJ57" t="s">
        <v>817</v>
      </c>
      <c r="AK57" t="s">
        <v>1425</v>
      </c>
    </row>
    <row r="58" spans="1:38" s="105" customFormat="1">
      <c r="A58" s="105">
        <v>1</v>
      </c>
      <c r="B58" s="105">
        <v>1</v>
      </c>
      <c r="C58" s="105" t="s">
        <v>55</v>
      </c>
      <c r="D58" s="105">
        <v>10866167</v>
      </c>
      <c r="E58" s="105">
        <v>10866178</v>
      </c>
      <c r="F58" s="105" t="s">
        <v>1500</v>
      </c>
      <c r="G58" s="105" t="s">
        <v>1501</v>
      </c>
      <c r="H58" s="105" t="s">
        <v>1462</v>
      </c>
      <c r="I58" s="105" t="s">
        <v>1463</v>
      </c>
      <c r="J58" s="105" t="s">
        <v>1365</v>
      </c>
      <c r="K58" s="105" t="s">
        <v>1382</v>
      </c>
      <c r="L58" s="105" t="s">
        <v>1502</v>
      </c>
      <c r="M58" s="105">
        <v>11</v>
      </c>
      <c r="N58" s="105">
        <v>9</v>
      </c>
      <c r="O58" s="105">
        <v>0</v>
      </c>
      <c r="P58" s="105">
        <v>19</v>
      </c>
      <c r="Q58" s="105">
        <v>3</v>
      </c>
      <c r="R58" s="105">
        <v>0</v>
      </c>
      <c r="S58" s="105">
        <v>3</v>
      </c>
      <c r="T58" s="105">
        <v>1</v>
      </c>
      <c r="U58" s="105">
        <v>0</v>
      </c>
      <c r="V58" s="105">
        <v>3</v>
      </c>
      <c r="W58" s="105">
        <v>0</v>
      </c>
      <c r="X58" s="105" t="s">
        <v>1503</v>
      </c>
      <c r="Y58" s="105" t="s">
        <v>1504</v>
      </c>
      <c r="Z58" s="105" t="s">
        <v>255</v>
      </c>
      <c r="AA58" s="105" t="s">
        <v>55</v>
      </c>
      <c r="AB58" s="105">
        <v>10866180</v>
      </c>
      <c r="AC58" s="105">
        <v>10866202</v>
      </c>
      <c r="AD58" s="105">
        <v>1.3189</v>
      </c>
      <c r="AE58" s="105" t="s">
        <v>823</v>
      </c>
      <c r="AF58" s="105" t="s">
        <v>823</v>
      </c>
      <c r="AG58" s="105" t="s">
        <v>824</v>
      </c>
      <c r="AH58" s="105">
        <v>10</v>
      </c>
      <c r="AI58" s="105">
        <v>10</v>
      </c>
      <c r="AJ58" s="105">
        <v>0</v>
      </c>
      <c r="AK58" s="105" t="s">
        <v>1433</v>
      </c>
    </row>
    <row r="59" spans="1:38" s="105" customFormat="1">
      <c r="A59" s="105">
        <v>2</v>
      </c>
      <c r="B59" s="105">
        <v>2</v>
      </c>
      <c r="C59" s="105" t="s">
        <v>46</v>
      </c>
      <c r="D59" s="105">
        <v>106285217</v>
      </c>
      <c r="E59" s="105">
        <v>106285226</v>
      </c>
      <c r="F59" s="105" t="s">
        <v>1426</v>
      </c>
      <c r="G59" s="105" t="s">
        <v>1427</v>
      </c>
      <c r="H59" s="105" t="s">
        <v>1428</v>
      </c>
      <c r="I59" s="105" t="s">
        <v>1429</v>
      </c>
      <c r="J59" s="105" t="s">
        <v>1360</v>
      </c>
      <c r="K59" s="105" t="s">
        <v>1382</v>
      </c>
      <c r="L59" s="105" t="s">
        <v>1430</v>
      </c>
      <c r="M59" s="105">
        <v>12</v>
      </c>
      <c r="N59" s="105">
        <v>8</v>
      </c>
      <c r="O59" s="105">
        <v>0</v>
      </c>
      <c r="P59" s="105">
        <v>28</v>
      </c>
      <c r="Q59" s="105">
        <v>2</v>
      </c>
      <c r="R59" s="105">
        <v>0</v>
      </c>
      <c r="S59" s="105">
        <v>2</v>
      </c>
      <c r="T59" s="105">
        <v>3</v>
      </c>
      <c r="U59" s="105">
        <v>0</v>
      </c>
      <c r="V59" s="105">
        <v>4</v>
      </c>
      <c r="W59" s="105">
        <v>0</v>
      </c>
      <c r="X59" s="105" t="s">
        <v>1431</v>
      </c>
      <c r="Y59" s="105" t="s">
        <v>1432</v>
      </c>
      <c r="Z59" s="105" t="s">
        <v>255</v>
      </c>
      <c r="AA59" s="105" t="s">
        <v>46</v>
      </c>
      <c r="AB59" s="105">
        <v>106285241</v>
      </c>
      <c r="AC59" s="105">
        <v>106285263</v>
      </c>
      <c r="AD59" s="105">
        <v>1.92</v>
      </c>
      <c r="AE59" s="105" t="s">
        <v>823</v>
      </c>
      <c r="AF59" s="105" t="s">
        <v>823</v>
      </c>
      <c r="AG59" s="105" t="s">
        <v>824</v>
      </c>
      <c r="AH59" s="105">
        <v>8</v>
      </c>
      <c r="AI59" s="105">
        <v>8</v>
      </c>
      <c r="AJ59" s="105">
        <v>0</v>
      </c>
      <c r="AK59" s="105" t="s">
        <v>1433</v>
      </c>
    </row>
    <row r="60" spans="1:38" s="111" customFormat="1">
      <c r="A60" s="111">
        <v>3</v>
      </c>
      <c r="C60" s="111" t="s">
        <v>54</v>
      </c>
      <c r="D60" s="111">
        <v>22466320</v>
      </c>
      <c r="E60" s="111">
        <v>22466337</v>
      </c>
      <c r="F60" s="111" t="s">
        <v>1466</v>
      </c>
      <c r="G60" s="111" t="s">
        <v>926</v>
      </c>
      <c r="H60" s="111" t="s">
        <v>1467</v>
      </c>
      <c r="I60" s="111" t="s">
        <v>1468</v>
      </c>
      <c r="J60" s="111" t="s">
        <v>1469</v>
      </c>
      <c r="K60" s="111" t="s">
        <v>1470</v>
      </c>
      <c r="L60" s="111" t="s">
        <v>1471</v>
      </c>
      <c r="M60" s="111">
        <v>15</v>
      </c>
      <c r="N60" s="111">
        <v>8</v>
      </c>
      <c r="O60" s="111">
        <v>0</v>
      </c>
      <c r="P60" s="111">
        <v>43</v>
      </c>
      <c r="Q60" s="111">
        <v>4</v>
      </c>
      <c r="R60" s="111">
        <v>0</v>
      </c>
      <c r="S60" s="111">
        <v>4</v>
      </c>
      <c r="T60" s="111">
        <v>4</v>
      </c>
      <c r="U60" s="111">
        <v>0</v>
      </c>
      <c r="V60" s="111">
        <v>4</v>
      </c>
      <c r="W60" s="111">
        <v>0</v>
      </c>
      <c r="X60" s="111" t="s">
        <v>1472</v>
      </c>
      <c r="Y60" s="111" t="s">
        <v>1473</v>
      </c>
      <c r="Z60" s="111" t="s">
        <v>255</v>
      </c>
      <c r="AA60" s="111" t="s">
        <v>54</v>
      </c>
      <c r="AB60" s="111">
        <v>22466319</v>
      </c>
      <c r="AC60" s="111">
        <v>22466341</v>
      </c>
      <c r="AD60" s="111">
        <v>25.265499999999999</v>
      </c>
      <c r="AE60" s="111" t="s">
        <v>823</v>
      </c>
      <c r="AF60" s="111" t="s">
        <v>823</v>
      </c>
      <c r="AG60" s="111" t="s">
        <v>824</v>
      </c>
      <c r="AH60" s="111">
        <v>12</v>
      </c>
      <c r="AI60" s="111">
        <v>12</v>
      </c>
      <c r="AJ60" s="111">
        <v>0</v>
      </c>
      <c r="AK60" s="111" t="s">
        <v>1433</v>
      </c>
      <c r="AL60" s="111" t="s">
        <v>1043</v>
      </c>
    </row>
    <row r="61" spans="1:38">
      <c r="A61">
        <v>4</v>
      </c>
      <c r="C61" t="s">
        <v>40</v>
      </c>
      <c r="D61">
        <v>17030279</v>
      </c>
      <c r="E61">
        <v>17030292</v>
      </c>
      <c r="F61" t="s">
        <v>1434</v>
      </c>
      <c r="G61" t="s">
        <v>1435</v>
      </c>
      <c r="H61" t="s">
        <v>1436</v>
      </c>
      <c r="I61" t="s">
        <v>1437</v>
      </c>
      <c r="J61" t="s">
        <v>1360</v>
      </c>
      <c r="K61" t="s">
        <v>1361</v>
      </c>
      <c r="L61" t="s">
        <v>1438</v>
      </c>
      <c r="M61">
        <v>13</v>
      </c>
      <c r="N61">
        <v>7</v>
      </c>
      <c r="O61">
        <v>0</v>
      </c>
      <c r="P61">
        <v>37</v>
      </c>
      <c r="Q61">
        <v>2</v>
      </c>
      <c r="R61">
        <v>0</v>
      </c>
      <c r="S61">
        <v>2</v>
      </c>
      <c r="T61">
        <v>3</v>
      </c>
      <c r="U61">
        <v>0</v>
      </c>
      <c r="V61">
        <v>5</v>
      </c>
      <c r="W61">
        <v>0</v>
      </c>
      <c r="X61" t="s">
        <v>1439</v>
      </c>
      <c r="Y61" t="s">
        <v>1440</v>
      </c>
      <c r="Z61" t="s">
        <v>255</v>
      </c>
      <c r="AA61" t="s">
        <v>40</v>
      </c>
      <c r="AB61">
        <v>17030276</v>
      </c>
      <c r="AC61">
        <v>17030298</v>
      </c>
      <c r="AD61">
        <v>2.7126999999999999</v>
      </c>
      <c r="AE61" t="s">
        <v>822</v>
      </c>
      <c r="AF61" t="s">
        <v>823</v>
      </c>
      <c r="AG61" t="s">
        <v>824</v>
      </c>
      <c r="AH61">
        <v>11</v>
      </c>
      <c r="AI61">
        <v>8</v>
      </c>
      <c r="AJ61">
        <v>0</v>
      </c>
      <c r="AK61" t="s">
        <v>1433</v>
      </c>
    </row>
    <row r="62" spans="1:38" s="105" customFormat="1">
      <c r="A62" s="105">
        <v>5</v>
      </c>
      <c r="B62" s="105">
        <v>5</v>
      </c>
      <c r="C62" s="105" t="s">
        <v>42</v>
      </c>
      <c r="D62" s="105">
        <v>141002122</v>
      </c>
      <c r="E62" s="105">
        <v>141002140</v>
      </c>
      <c r="F62" s="105" t="s">
        <v>1441</v>
      </c>
      <c r="G62" s="105" t="s">
        <v>1442</v>
      </c>
      <c r="H62" s="105" t="s">
        <v>1443</v>
      </c>
      <c r="I62" s="105" t="s">
        <v>1444</v>
      </c>
      <c r="J62" s="105" t="s">
        <v>1365</v>
      </c>
      <c r="K62" s="105" t="s">
        <v>1361</v>
      </c>
      <c r="L62" s="105" t="s">
        <v>1438</v>
      </c>
      <c r="M62" s="105">
        <v>13</v>
      </c>
      <c r="N62" s="105">
        <v>7</v>
      </c>
      <c r="O62" s="105">
        <v>0</v>
      </c>
      <c r="P62" s="105">
        <v>37</v>
      </c>
      <c r="Q62" s="105">
        <v>2</v>
      </c>
      <c r="R62" s="105">
        <v>0</v>
      </c>
      <c r="S62" s="105">
        <v>2</v>
      </c>
      <c r="T62" s="105">
        <v>4</v>
      </c>
      <c r="U62" s="105">
        <v>0</v>
      </c>
      <c r="V62" s="105">
        <v>5</v>
      </c>
      <c r="W62" s="105">
        <v>0</v>
      </c>
      <c r="X62" s="105" t="s">
        <v>1445</v>
      </c>
      <c r="Y62" s="105" t="s">
        <v>1446</v>
      </c>
      <c r="Z62" s="105" t="s">
        <v>255</v>
      </c>
      <c r="AA62" s="105" t="s">
        <v>42</v>
      </c>
      <c r="AB62" s="105">
        <v>141002123</v>
      </c>
      <c r="AC62" s="105">
        <v>141002145</v>
      </c>
      <c r="AD62" s="105">
        <v>0.33100000000000002</v>
      </c>
      <c r="AE62" s="105" t="s">
        <v>822</v>
      </c>
      <c r="AF62" s="105" t="s">
        <v>823</v>
      </c>
      <c r="AG62" s="105" t="s">
        <v>824</v>
      </c>
      <c r="AH62" s="105">
        <v>13</v>
      </c>
      <c r="AI62" s="105">
        <v>12</v>
      </c>
      <c r="AJ62" s="105">
        <v>0</v>
      </c>
      <c r="AK62" s="105" t="s">
        <v>1433</v>
      </c>
    </row>
    <row r="63" spans="1:38" s="105" customFormat="1">
      <c r="A63" s="105">
        <v>6</v>
      </c>
      <c r="B63" s="105">
        <v>6</v>
      </c>
      <c r="C63" s="105" t="s">
        <v>42</v>
      </c>
      <c r="D63" s="105">
        <v>67342966</v>
      </c>
      <c r="E63" s="105">
        <v>67342972</v>
      </c>
      <c r="F63" s="105" t="s">
        <v>1447</v>
      </c>
      <c r="G63" s="105" t="s">
        <v>1448</v>
      </c>
      <c r="H63" s="105" t="s">
        <v>1449</v>
      </c>
      <c r="I63" s="105" t="s">
        <v>1450</v>
      </c>
      <c r="J63" s="105" t="s">
        <v>1360</v>
      </c>
      <c r="K63" s="105" t="s">
        <v>1382</v>
      </c>
      <c r="L63" s="105" t="s">
        <v>1430</v>
      </c>
      <c r="M63" s="105">
        <v>13</v>
      </c>
      <c r="N63" s="105">
        <v>7</v>
      </c>
      <c r="O63" s="105">
        <v>0</v>
      </c>
      <c r="P63" s="105">
        <v>37</v>
      </c>
      <c r="Q63" s="105">
        <v>2</v>
      </c>
      <c r="R63" s="105">
        <v>0</v>
      </c>
      <c r="S63" s="105">
        <v>2</v>
      </c>
      <c r="T63" s="105">
        <v>3</v>
      </c>
      <c r="U63" s="105">
        <v>0</v>
      </c>
      <c r="V63" s="105">
        <v>3</v>
      </c>
      <c r="W63" s="105">
        <v>0</v>
      </c>
      <c r="X63" s="105" t="s">
        <v>1451</v>
      </c>
      <c r="Y63" s="105" t="s">
        <v>1452</v>
      </c>
      <c r="Z63" s="105" t="s">
        <v>255</v>
      </c>
      <c r="AA63" s="105" t="s">
        <v>42</v>
      </c>
      <c r="AB63" s="105">
        <v>67342975</v>
      </c>
      <c r="AC63" s="105">
        <v>67342997</v>
      </c>
      <c r="AD63" s="105">
        <v>2.0503</v>
      </c>
      <c r="AE63" s="105" t="s">
        <v>823</v>
      </c>
      <c r="AF63" s="105" t="s">
        <v>823</v>
      </c>
      <c r="AG63" s="105" t="s">
        <v>824</v>
      </c>
      <c r="AH63" s="105">
        <v>5</v>
      </c>
      <c r="AI63" s="105">
        <v>4</v>
      </c>
      <c r="AJ63" s="105">
        <v>0</v>
      </c>
      <c r="AK63" s="105" t="s">
        <v>1433</v>
      </c>
    </row>
    <row r="64" spans="1:38" s="105" customFormat="1">
      <c r="A64" s="105">
        <v>7</v>
      </c>
      <c r="B64" s="105">
        <v>7</v>
      </c>
      <c r="C64" s="105" t="s">
        <v>49</v>
      </c>
      <c r="D64" s="105">
        <v>113616193</v>
      </c>
      <c r="E64" s="105">
        <v>113616220</v>
      </c>
      <c r="F64" s="105" t="s">
        <v>1453</v>
      </c>
      <c r="G64" s="105" t="s">
        <v>1454</v>
      </c>
      <c r="H64" s="105" t="s">
        <v>1455</v>
      </c>
      <c r="I64" s="105" t="s">
        <v>1456</v>
      </c>
      <c r="J64" s="105" t="s">
        <v>1360</v>
      </c>
      <c r="K64" s="105" t="s">
        <v>1361</v>
      </c>
      <c r="L64" s="105" t="s">
        <v>1457</v>
      </c>
      <c r="M64" s="105">
        <v>13</v>
      </c>
      <c r="N64" s="105">
        <v>7</v>
      </c>
      <c r="O64" s="105">
        <v>0</v>
      </c>
      <c r="P64" s="105">
        <v>37</v>
      </c>
      <c r="Q64" s="105">
        <v>2</v>
      </c>
      <c r="R64" s="105">
        <v>0</v>
      </c>
      <c r="S64" s="105">
        <v>2</v>
      </c>
      <c r="T64" s="105">
        <v>4</v>
      </c>
      <c r="U64" s="105">
        <v>0</v>
      </c>
      <c r="V64" s="105">
        <v>5</v>
      </c>
      <c r="W64" s="105">
        <v>0</v>
      </c>
      <c r="X64" s="105" t="s">
        <v>1458</v>
      </c>
      <c r="Y64" s="105" t="s">
        <v>1459</v>
      </c>
      <c r="Z64" s="105" t="s">
        <v>255</v>
      </c>
      <c r="AA64" s="105" t="s">
        <v>49</v>
      </c>
      <c r="AB64" s="105">
        <v>113616207</v>
      </c>
      <c r="AC64" s="105">
        <v>113616229</v>
      </c>
      <c r="AD64" s="105">
        <v>0.76829999999999998</v>
      </c>
      <c r="AE64" s="105" t="s">
        <v>823</v>
      </c>
      <c r="AF64" s="105" t="s">
        <v>823</v>
      </c>
      <c r="AG64" s="105" t="s">
        <v>824</v>
      </c>
      <c r="AH64" s="105">
        <v>17</v>
      </c>
      <c r="AI64" s="105">
        <v>16</v>
      </c>
      <c r="AJ64" s="105">
        <v>0</v>
      </c>
      <c r="AK64" s="105" t="s">
        <v>1433</v>
      </c>
    </row>
    <row r="65" spans="1:37" s="111" customFormat="1">
      <c r="A65" s="111">
        <v>8</v>
      </c>
      <c r="C65" s="111" t="s">
        <v>732</v>
      </c>
      <c r="D65" s="111">
        <v>58572565</v>
      </c>
      <c r="E65" s="111">
        <v>58572578</v>
      </c>
      <c r="F65" s="111" t="s">
        <v>1460</v>
      </c>
      <c r="G65" s="111" t="s">
        <v>1461</v>
      </c>
      <c r="H65" s="111" t="s">
        <v>1462</v>
      </c>
      <c r="I65" s="111" t="s">
        <v>1463</v>
      </c>
      <c r="J65" s="111" t="s">
        <v>1360</v>
      </c>
      <c r="K65" s="111" t="s">
        <v>1361</v>
      </c>
      <c r="L65" s="111" t="s">
        <v>1457</v>
      </c>
      <c r="M65" s="111">
        <v>13</v>
      </c>
      <c r="N65" s="111">
        <v>7</v>
      </c>
      <c r="O65" s="111">
        <v>0</v>
      </c>
      <c r="P65" s="111">
        <v>37</v>
      </c>
      <c r="Q65" s="111">
        <v>2</v>
      </c>
      <c r="R65" s="111">
        <v>0</v>
      </c>
      <c r="S65" s="111">
        <v>2</v>
      </c>
      <c r="T65" s="111">
        <v>1</v>
      </c>
      <c r="U65" s="111">
        <v>0</v>
      </c>
      <c r="V65" s="111">
        <v>1</v>
      </c>
      <c r="W65" s="111">
        <v>0</v>
      </c>
      <c r="X65" s="111" t="s">
        <v>1464</v>
      </c>
      <c r="Y65" s="111" t="s">
        <v>1465</v>
      </c>
      <c r="Z65" s="111" t="s">
        <v>255</v>
      </c>
      <c r="AA65" s="111" t="s">
        <v>732</v>
      </c>
      <c r="AB65" s="111">
        <v>58572563</v>
      </c>
      <c r="AC65" s="111">
        <v>58572585</v>
      </c>
      <c r="AD65" s="111">
        <v>0.2271</v>
      </c>
      <c r="AE65" s="111" t="s">
        <v>823</v>
      </c>
      <c r="AF65" s="111" t="s">
        <v>823</v>
      </c>
      <c r="AG65" s="111" t="s">
        <v>824</v>
      </c>
      <c r="AH65" s="111">
        <v>10</v>
      </c>
      <c r="AI65" s="111">
        <v>10</v>
      </c>
      <c r="AJ65" s="111">
        <v>0</v>
      </c>
      <c r="AK65" s="111" t="s">
        <v>1433</v>
      </c>
    </row>
    <row r="66" spans="1:37">
      <c r="A66">
        <v>9</v>
      </c>
      <c r="C66" t="s">
        <v>40</v>
      </c>
      <c r="D66">
        <v>58446395</v>
      </c>
      <c r="E66">
        <v>58446408</v>
      </c>
      <c r="F66" t="s">
        <v>1474</v>
      </c>
      <c r="G66" t="s">
        <v>1475</v>
      </c>
      <c r="H66" t="s">
        <v>1436</v>
      </c>
      <c r="I66" t="s">
        <v>1476</v>
      </c>
      <c r="J66" t="s">
        <v>1360</v>
      </c>
      <c r="K66" t="s">
        <v>1361</v>
      </c>
      <c r="L66" t="s">
        <v>1477</v>
      </c>
      <c r="M66">
        <v>13</v>
      </c>
      <c r="N66">
        <v>7</v>
      </c>
      <c r="O66">
        <v>0</v>
      </c>
      <c r="P66">
        <v>37</v>
      </c>
      <c r="Q66">
        <v>4</v>
      </c>
      <c r="R66">
        <v>0</v>
      </c>
      <c r="S66">
        <v>4</v>
      </c>
      <c r="T66">
        <v>3</v>
      </c>
      <c r="U66">
        <v>0</v>
      </c>
      <c r="V66">
        <v>3</v>
      </c>
      <c r="W66">
        <v>0</v>
      </c>
      <c r="X66" t="s">
        <v>1478</v>
      </c>
      <c r="Y66" t="s">
        <v>1479</v>
      </c>
      <c r="Z66" t="s">
        <v>255</v>
      </c>
      <c r="AA66" t="s">
        <v>40</v>
      </c>
      <c r="AB66">
        <v>58446394</v>
      </c>
      <c r="AC66">
        <v>58446416</v>
      </c>
      <c r="AD66">
        <v>0.66710000000000003</v>
      </c>
      <c r="AE66" t="s">
        <v>823</v>
      </c>
      <c r="AF66" t="s">
        <v>823</v>
      </c>
      <c r="AG66" t="s">
        <v>824</v>
      </c>
      <c r="AH66">
        <v>11</v>
      </c>
      <c r="AI66">
        <v>10</v>
      </c>
      <c r="AJ66">
        <v>0</v>
      </c>
      <c r="AK66" t="s">
        <v>1433</v>
      </c>
    </row>
    <row r="67" spans="1:37" s="105" customFormat="1">
      <c r="A67" s="105">
        <v>10</v>
      </c>
      <c r="B67" s="105">
        <v>10</v>
      </c>
      <c r="C67" s="105" t="s">
        <v>56</v>
      </c>
      <c r="D67" s="105">
        <v>2634125</v>
      </c>
      <c r="E67" s="105">
        <v>2634143</v>
      </c>
      <c r="F67" s="105" t="s">
        <v>1568</v>
      </c>
      <c r="G67" s="105" t="s">
        <v>1569</v>
      </c>
      <c r="H67" s="105" t="s">
        <v>1462</v>
      </c>
      <c r="I67" s="105" t="s">
        <v>1570</v>
      </c>
      <c r="J67" s="105" t="s">
        <v>1360</v>
      </c>
      <c r="K67" s="105" t="s">
        <v>1361</v>
      </c>
      <c r="L67" s="105" t="s">
        <v>1513</v>
      </c>
      <c r="M67" s="105">
        <v>13</v>
      </c>
      <c r="N67" s="105">
        <v>7</v>
      </c>
      <c r="O67" s="105">
        <v>0</v>
      </c>
      <c r="P67" s="105">
        <v>37</v>
      </c>
      <c r="Q67" s="105">
        <v>3</v>
      </c>
      <c r="R67" s="105">
        <v>0</v>
      </c>
      <c r="S67" s="105">
        <v>3</v>
      </c>
      <c r="T67" s="105">
        <v>3</v>
      </c>
      <c r="U67" s="105">
        <v>0</v>
      </c>
      <c r="V67" s="105">
        <v>3</v>
      </c>
      <c r="W67" s="105">
        <v>0</v>
      </c>
      <c r="X67" s="105" t="s">
        <v>1571</v>
      </c>
      <c r="Y67" s="105" t="s">
        <v>1572</v>
      </c>
      <c r="Z67" s="105" t="s">
        <v>255</v>
      </c>
      <c r="AA67" s="105" t="s">
        <v>56</v>
      </c>
      <c r="AB67" s="105">
        <v>2634130</v>
      </c>
      <c r="AC67" s="105">
        <v>2634152</v>
      </c>
      <c r="AD67" s="105">
        <v>0.1978</v>
      </c>
      <c r="AE67" s="105" t="s">
        <v>823</v>
      </c>
      <c r="AF67" s="105" t="s">
        <v>823</v>
      </c>
      <c r="AG67" s="105" t="s">
        <v>824</v>
      </c>
      <c r="AH67" s="105">
        <v>10</v>
      </c>
      <c r="AI67" s="105">
        <v>9</v>
      </c>
      <c r="AJ67" s="105">
        <v>0</v>
      </c>
      <c r="AK67" s="105" t="s">
        <v>1433</v>
      </c>
    </row>
    <row r="68" spans="1:37">
      <c r="A68">
        <v>11</v>
      </c>
      <c r="C68" t="s">
        <v>53</v>
      </c>
      <c r="D68">
        <v>7244142</v>
      </c>
      <c r="E68">
        <v>7244164</v>
      </c>
      <c r="F68" t="s">
        <v>1480</v>
      </c>
      <c r="G68" t="s">
        <v>1481</v>
      </c>
      <c r="H68" t="s">
        <v>1482</v>
      </c>
      <c r="I68" t="s">
        <v>1483</v>
      </c>
      <c r="J68" t="s">
        <v>1360</v>
      </c>
      <c r="K68" t="s">
        <v>1361</v>
      </c>
      <c r="L68" t="s">
        <v>1477</v>
      </c>
      <c r="M68">
        <v>14</v>
      </c>
      <c r="N68">
        <v>6</v>
      </c>
      <c r="O68">
        <v>0</v>
      </c>
      <c r="P68">
        <v>46</v>
      </c>
      <c r="Q68">
        <v>2</v>
      </c>
      <c r="R68">
        <v>0</v>
      </c>
      <c r="S68">
        <v>2</v>
      </c>
      <c r="T68">
        <v>3</v>
      </c>
      <c r="U68">
        <v>0</v>
      </c>
      <c r="V68">
        <v>4</v>
      </c>
      <c r="W68">
        <v>0</v>
      </c>
      <c r="X68" t="s">
        <v>1484</v>
      </c>
      <c r="Y68" t="s">
        <v>1485</v>
      </c>
      <c r="Z68" t="s">
        <v>255</v>
      </c>
      <c r="AA68" t="s">
        <v>53</v>
      </c>
      <c r="AB68">
        <v>7244145</v>
      </c>
      <c r="AC68">
        <v>7244167</v>
      </c>
      <c r="AD68">
        <v>24.9755</v>
      </c>
      <c r="AE68" t="s">
        <v>822</v>
      </c>
      <c r="AF68" t="s">
        <v>822</v>
      </c>
      <c r="AG68" t="s">
        <v>1486</v>
      </c>
      <c r="AH68">
        <v>16</v>
      </c>
      <c r="AI68">
        <v>15</v>
      </c>
      <c r="AJ68">
        <v>0</v>
      </c>
      <c r="AK68" t="s">
        <v>1433</v>
      </c>
    </row>
    <row r="69" spans="1:37" s="105" customFormat="1">
      <c r="A69" s="105">
        <v>12</v>
      </c>
      <c r="B69" s="105">
        <v>12</v>
      </c>
      <c r="C69" s="105" t="s">
        <v>964</v>
      </c>
      <c r="D69" s="105">
        <v>18020497</v>
      </c>
      <c r="E69" s="105">
        <v>18020518</v>
      </c>
      <c r="F69" s="105" t="s">
        <v>1487</v>
      </c>
      <c r="G69" s="105" t="s">
        <v>1488</v>
      </c>
      <c r="H69" s="105" t="s">
        <v>1489</v>
      </c>
      <c r="I69" s="105" t="s">
        <v>1490</v>
      </c>
      <c r="J69" s="105" t="s">
        <v>1365</v>
      </c>
      <c r="K69" s="105" t="s">
        <v>1361</v>
      </c>
      <c r="L69" s="105" t="s">
        <v>1457</v>
      </c>
      <c r="M69" s="105">
        <v>14</v>
      </c>
      <c r="N69" s="105">
        <v>6</v>
      </c>
      <c r="O69" s="105">
        <v>0</v>
      </c>
      <c r="P69" s="105">
        <v>46</v>
      </c>
      <c r="Q69" s="105">
        <v>2</v>
      </c>
      <c r="R69" s="105">
        <v>0</v>
      </c>
      <c r="S69" s="105">
        <v>2</v>
      </c>
      <c r="T69" s="105">
        <v>3</v>
      </c>
      <c r="U69" s="105">
        <v>0</v>
      </c>
      <c r="V69" s="105">
        <v>4</v>
      </c>
      <c r="W69" s="105">
        <v>0</v>
      </c>
      <c r="X69" s="105" t="s">
        <v>1491</v>
      </c>
      <c r="Y69" s="105" t="s">
        <v>1492</v>
      </c>
      <c r="Z69" s="105" t="s">
        <v>255</v>
      </c>
      <c r="AA69" s="105" t="s">
        <v>964</v>
      </c>
      <c r="AB69" s="105">
        <v>18020498</v>
      </c>
      <c r="AC69" s="105">
        <v>18020520</v>
      </c>
      <c r="AD69" s="105">
        <v>10.548</v>
      </c>
      <c r="AE69" s="105" t="s">
        <v>822</v>
      </c>
      <c r="AF69" s="105" t="s">
        <v>822</v>
      </c>
      <c r="AG69" s="105" t="s">
        <v>1493</v>
      </c>
      <c r="AH69" s="105">
        <v>14</v>
      </c>
      <c r="AI69" s="105">
        <v>14</v>
      </c>
      <c r="AJ69" s="105">
        <v>0</v>
      </c>
      <c r="AK69" s="105" t="s">
        <v>1433</v>
      </c>
    </row>
    <row r="70" spans="1:37">
      <c r="A70">
        <v>13</v>
      </c>
      <c r="C70" t="s">
        <v>41</v>
      </c>
      <c r="D70">
        <v>220671112</v>
      </c>
      <c r="E70">
        <v>220671125</v>
      </c>
      <c r="F70" t="s">
        <v>1505</v>
      </c>
      <c r="G70" t="s">
        <v>1506</v>
      </c>
      <c r="H70" t="s">
        <v>1467</v>
      </c>
      <c r="I70" t="s">
        <v>1468</v>
      </c>
      <c r="J70" t="s">
        <v>1365</v>
      </c>
      <c r="K70" t="s">
        <v>1361</v>
      </c>
      <c r="L70" t="s">
        <v>1477</v>
      </c>
      <c r="M70">
        <v>14</v>
      </c>
      <c r="N70">
        <v>6</v>
      </c>
      <c r="O70">
        <v>0</v>
      </c>
      <c r="P70">
        <v>46</v>
      </c>
      <c r="Q70">
        <v>2</v>
      </c>
      <c r="R70">
        <v>0</v>
      </c>
      <c r="S70">
        <v>2</v>
      </c>
      <c r="T70">
        <v>3</v>
      </c>
      <c r="U70">
        <v>0</v>
      </c>
      <c r="V70">
        <v>4</v>
      </c>
      <c r="W70">
        <v>0</v>
      </c>
      <c r="X70" t="s">
        <v>1507</v>
      </c>
      <c r="Y70" t="s">
        <v>1508</v>
      </c>
      <c r="Z70" t="s">
        <v>255</v>
      </c>
      <c r="AA70" t="s">
        <v>41</v>
      </c>
      <c r="AB70">
        <v>220671106</v>
      </c>
      <c r="AC70">
        <v>220671128</v>
      </c>
      <c r="AD70">
        <v>7.5</v>
      </c>
      <c r="AE70" t="s">
        <v>822</v>
      </c>
      <c r="AF70" t="s">
        <v>822</v>
      </c>
      <c r="AG70" t="s">
        <v>1509</v>
      </c>
      <c r="AH70">
        <v>12</v>
      </c>
      <c r="AI70">
        <v>12</v>
      </c>
      <c r="AJ70">
        <v>0</v>
      </c>
      <c r="AK70" t="s">
        <v>1433</v>
      </c>
    </row>
    <row r="71" spans="1:37">
      <c r="A71">
        <v>14</v>
      </c>
      <c r="C71" t="s">
        <v>46</v>
      </c>
      <c r="D71">
        <v>958201</v>
      </c>
      <c r="E71">
        <v>958220</v>
      </c>
      <c r="F71" t="s">
        <v>1510</v>
      </c>
      <c r="G71" t="s">
        <v>1511</v>
      </c>
      <c r="H71" t="s">
        <v>1443</v>
      </c>
      <c r="I71" t="s">
        <v>1512</v>
      </c>
      <c r="J71" t="s">
        <v>1360</v>
      </c>
      <c r="K71" t="s">
        <v>1361</v>
      </c>
      <c r="L71" t="s">
        <v>1513</v>
      </c>
      <c r="M71">
        <v>14</v>
      </c>
      <c r="N71">
        <v>6</v>
      </c>
      <c r="O71">
        <v>0</v>
      </c>
      <c r="P71">
        <v>46</v>
      </c>
      <c r="Q71">
        <v>3</v>
      </c>
      <c r="R71">
        <v>0</v>
      </c>
      <c r="S71">
        <v>3</v>
      </c>
      <c r="T71">
        <v>2</v>
      </c>
      <c r="U71">
        <v>0</v>
      </c>
      <c r="V71">
        <v>3</v>
      </c>
      <c r="W71">
        <v>0</v>
      </c>
      <c r="X71" t="s">
        <v>1514</v>
      </c>
      <c r="Y71" t="s">
        <v>1515</v>
      </c>
      <c r="Z71" t="s">
        <v>255</v>
      </c>
      <c r="AA71" t="s">
        <v>46</v>
      </c>
      <c r="AB71">
        <v>958204</v>
      </c>
      <c r="AC71">
        <v>958226</v>
      </c>
      <c r="AD71">
        <v>11.7979</v>
      </c>
      <c r="AE71" t="s">
        <v>822</v>
      </c>
      <c r="AF71" t="s">
        <v>823</v>
      </c>
      <c r="AG71" t="s">
        <v>824</v>
      </c>
      <c r="AH71">
        <v>13</v>
      </c>
      <c r="AI71">
        <v>12</v>
      </c>
      <c r="AJ71">
        <v>0</v>
      </c>
      <c r="AK71" t="s">
        <v>1433</v>
      </c>
    </row>
    <row r="72" spans="1:37" s="105" customFormat="1">
      <c r="A72" s="105">
        <v>15</v>
      </c>
      <c r="B72" s="105">
        <v>15</v>
      </c>
      <c r="C72" s="105" t="s">
        <v>55</v>
      </c>
      <c r="D72" s="105">
        <v>34825688</v>
      </c>
      <c r="E72" s="105">
        <v>34825701</v>
      </c>
      <c r="F72" s="105" t="s">
        <v>1516</v>
      </c>
      <c r="G72" s="105" t="s">
        <v>1517</v>
      </c>
      <c r="H72" s="105" t="s">
        <v>1436</v>
      </c>
      <c r="I72" s="105" t="s">
        <v>1518</v>
      </c>
      <c r="J72" s="105" t="s">
        <v>1360</v>
      </c>
      <c r="K72" s="105" t="s">
        <v>1361</v>
      </c>
      <c r="L72" s="105" t="s">
        <v>1457</v>
      </c>
      <c r="M72" s="105">
        <v>14</v>
      </c>
      <c r="N72" s="105">
        <v>6</v>
      </c>
      <c r="O72" s="105">
        <v>0</v>
      </c>
      <c r="P72" s="105">
        <v>46</v>
      </c>
      <c r="Q72" s="105">
        <v>3</v>
      </c>
      <c r="R72" s="105">
        <v>0</v>
      </c>
      <c r="S72" s="105">
        <v>3</v>
      </c>
      <c r="T72" s="105">
        <v>2</v>
      </c>
      <c r="U72" s="105">
        <v>0</v>
      </c>
      <c r="V72" s="105">
        <v>3</v>
      </c>
      <c r="W72" s="105">
        <v>0</v>
      </c>
      <c r="X72" s="105" t="s">
        <v>1519</v>
      </c>
      <c r="Y72" s="105" t="s">
        <v>1520</v>
      </c>
      <c r="Z72" s="105" t="s">
        <v>255</v>
      </c>
      <c r="AA72" s="105" t="s">
        <v>55</v>
      </c>
      <c r="AB72" s="105">
        <v>34825687</v>
      </c>
      <c r="AC72" s="105">
        <v>34825709</v>
      </c>
      <c r="AD72" s="105">
        <v>8.5462000000000007</v>
      </c>
      <c r="AE72" s="105" t="s">
        <v>822</v>
      </c>
      <c r="AF72" s="105" t="s">
        <v>823</v>
      </c>
      <c r="AG72" s="105" t="s">
        <v>824</v>
      </c>
      <c r="AH72" s="105">
        <v>11</v>
      </c>
      <c r="AI72" s="105">
        <v>11</v>
      </c>
      <c r="AJ72" s="105">
        <v>0</v>
      </c>
      <c r="AK72" s="105" t="s">
        <v>1433</v>
      </c>
    </row>
    <row r="73" spans="1:37" s="105" customFormat="1">
      <c r="A73" s="105">
        <v>16</v>
      </c>
      <c r="B73" s="105">
        <v>16</v>
      </c>
      <c r="C73" s="105" t="s">
        <v>40</v>
      </c>
      <c r="D73" s="105">
        <v>59982224</v>
      </c>
      <c r="E73" s="105">
        <v>59982236</v>
      </c>
      <c r="F73" s="105" t="s">
        <v>1521</v>
      </c>
      <c r="G73" s="105" t="s">
        <v>1522</v>
      </c>
      <c r="H73" s="105" t="s">
        <v>1436</v>
      </c>
      <c r="I73" s="105" t="s">
        <v>1523</v>
      </c>
      <c r="J73" s="105" t="s">
        <v>1365</v>
      </c>
      <c r="K73" s="105" t="s">
        <v>1382</v>
      </c>
      <c r="L73" s="105" t="s">
        <v>1430</v>
      </c>
      <c r="M73" s="105">
        <v>14</v>
      </c>
      <c r="N73" s="105">
        <v>6</v>
      </c>
      <c r="O73" s="105">
        <v>0</v>
      </c>
      <c r="P73" s="105">
        <v>46</v>
      </c>
      <c r="Q73" s="105">
        <v>3</v>
      </c>
      <c r="R73" s="105">
        <v>0</v>
      </c>
      <c r="S73" s="105">
        <v>3</v>
      </c>
      <c r="T73" s="105">
        <v>3</v>
      </c>
      <c r="U73" s="105">
        <v>0</v>
      </c>
      <c r="V73" s="105">
        <v>3</v>
      </c>
      <c r="W73" s="105">
        <v>0</v>
      </c>
      <c r="X73" s="105" t="s">
        <v>1524</v>
      </c>
      <c r="Y73" s="105" t="s">
        <v>1525</v>
      </c>
      <c r="Z73" s="105" t="s">
        <v>255</v>
      </c>
      <c r="AA73" s="105" t="s">
        <v>40</v>
      </c>
      <c r="AB73" s="105">
        <v>59982217</v>
      </c>
      <c r="AC73" s="105">
        <v>59982239</v>
      </c>
      <c r="AD73" s="105">
        <v>6.875</v>
      </c>
      <c r="AE73" s="105" t="s">
        <v>822</v>
      </c>
      <c r="AF73" s="105" t="s">
        <v>823</v>
      </c>
      <c r="AG73" s="105" t="s">
        <v>824</v>
      </c>
      <c r="AH73" s="105">
        <v>11</v>
      </c>
      <c r="AI73" s="105">
        <v>10</v>
      </c>
      <c r="AJ73" s="105">
        <v>0</v>
      </c>
      <c r="AK73" s="105" t="s">
        <v>1433</v>
      </c>
    </row>
    <row r="74" spans="1:37">
      <c r="A74">
        <v>17</v>
      </c>
      <c r="C74" t="s">
        <v>45</v>
      </c>
      <c r="D74">
        <v>1918753</v>
      </c>
      <c r="E74">
        <v>1918764</v>
      </c>
      <c r="F74" t="s">
        <v>1526</v>
      </c>
      <c r="G74" t="s">
        <v>1527</v>
      </c>
      <c r="H74" t="s">
        <v>1436</v>
      </c>
      <c r="I74" t="s">
        <v>1518</v>
      </c>
      <c r="J74" t="s">
        <v>1360</v>
      </c>
      <c r="K74" t="s">
        <v>1361</v>
      </c>
      <c r="L74" t="s">
        <v>1513</v>
      </c>
      <c r="M74">
        <v>14</v>
      </c>
      <c r="N74">
        <v>6</v>
      </c>
      <c r="O74">
        <v>0</v>
      </c>
      <c r="P74">
        <v>46</v>
      </c>
      <c r="Q74">
        <v>3</v>
      </c>
      <c r="R74">
        <v>0</v>
      </c>
      <c r="S74">
        <v>3</v>
      </c>
      <c r="T74">
        <v>2</v>
      </c>
      <c r="U74">
        <v>0</v>
      </c>
      <c r="V74">
        <v>3</v>
      </c>
      <c r="W74">
        <v>0</v>
      </c>
      <c r="X74" t="s">
        <v>1528</v>
      </c>
      <c r="Y74" t="s">
        <v>1529</v>
      </c>
      <c r="Z74" t="s">
        <v>255</v>
      </c>
      <c r="AA74" t="s">
        <v>45</v>
      </c>
      <c r="AB74">
        <v>1918751</v>
      </c>
      <c r="AC74">
        <v>1918773</v>
      </c>
      <c r="AD74">
        <v>4.375</v>
      </c>
      <c r="AE74" t="s">
        <v>822</v>
      </c>
      <c r="AF74" t="s">
        <v>823</v>
      </c>
      <c r="AG74" t="s">
        <v>824</v>
      </c>
      <c r="AH74">
        <v>11</v>
      </c>
      <c r="AI74">
        <v>11</v>
      </c>
      <c r="AJ74">
        <v>0</v>
      </c>
      <c r="AK74" t="s">
        <v>1433</v>
      </c>
    </row>
    <row r="75" spans="1:37">
      <c r="A75">
        <v>18</v>
      </c>
      <c r="C75" t="s">
        <v>58</v>
      </c>
      <c r="D75">
        <v>31125333</v>
      </c>
      <c r="E75">
        <v>31125350</v>
      </c>
      <c r="F75" t="s">
        <v>1530</v>
      </c>
      <c r="G75" t="s">
        <v>1531</v>
      </c>
      <c r="H75" t="s">
        <v>1489</v>
      </c>
      <c r="I75" t="s">
        <v>1532</v>
      </c>
      <c r="J75" t="s">
        <v>1360</v>
      </c>
      <c r="K75" t="s">
        <v>1361</v>
      </c>
      <c r="L75" t="s">
        <v>1438</v>
      </c>
      <c r="M75">
        <v>14</v>
      </c>
      <c r="N75">
        <v>6</v>
      </c>
      <c r="O75">
        <v>0</v>
      </c>
      <c r="P75">
        <v>46</v>
      </c>
      <c r="Q75">
        <v>3</v>
      </c>
      <c r="R75">
        <v>0</v>
      </c>
      <c r="S75">
        <v>3</v>
      </c>
      <c r="T75">
        <v>3</v>
      </c>
      <c r="U75">
        <v>0</v>
      </c>
      <c r="V75">
        <v>3</v>
      </c>
      <c r="W75">
        <v>0</v>
      </c>
      <c r="X75" t="s">
        <v>1533</v>
      </c>
      <c r="Y75" t="s">
        <v>1534</v>
      </c>
      <c r="Z75" t="s">
        <v>255</v>
      </c>
      <c r="AA75" t="s">
        <v>58</v>
      </c>
      <c r="AB75">
        <v>31125330</v>
      </c>
      <c r="AC75">
        <v>31125352</v>
      </c>
      <c r="AD75">
        <v>4.1169000000000002</v>
      </c>
      <c r="AE75" t="s">
        <v>822</v>
      </c>
      <c r="AF75" t="s">
        <v>823</v>
      </c>
      <c r="AG75" t="s">
        <v>824</v>
      </c>
      <c r="AH75">
        <v>14</v>
      </c>
      <c r="AI75">
        <v>12</v>
      </c>
      <c r="AJ75">
        <v>0</v>
      </c>
      <c r="AK75" t="s">
        <v>1433</v>
      </c>
    </row>
    <row r="76" spans="1:37">
      <c r="A76">
        <v>19</v>
      </c>
      <c r="C76" t="s">
        <v>43</v>
      </c>
      <c r="D76">
        <v>133559076</v>
      </c>
      <c r="E76">
        <v>133559088</v>
      </c>
      <c r="F76" t="s">
        <v>1535</v>
      </c>
      <c r="G76" t="s">
        <v>1536</v>
      </c>
      <c r="H76" t="s">
        <v>1462</v>
      </c>
      <c r="I76" t="s">
        <v>1463</v>
      </c>
      <c r="J76" t="s">
        <v>1365</v>
      </c>
      <c r="K76" t="s">
        <v>1361</v>
      </c>
      <c r="L76" t="s">
        <v>1457</v>
      </c>
      <c r="M76">
        <v>14</v>
      </c>
      <c r="N76">
        <v>6</v>
      </c>
      <c r="O76">
        <v>0</v>
      </c>
      <c r="P76">
        <v>46</v>
      </c>
      <c r="Q76">
        <v>3</v>
      </c>
      <c r="R76">
        <v>0</v>
      </c>
      <c r="S76">
        <v>3</v>
      </c>
      <c r="T76">
        <v>3</v>
      </c>
      <c r="U76">
        <v>0</v>
      </c>
      <c r="V76">
        <v>3</v>
      </c>
      <c r="W76">
        <v>0</v>
      </c>
      <c r="X76" t="s">
        <v>1537</v>
      </c>
      <c r="Y76" t="s">
        <v>1538</v>
      </c>
      <c r="Z76" t="s">
        <v>255</v>
      </c>
      <c r="AA76" t="s">
        <v>43</v>
      </c>
      <c r="AB76">
        <v>133559070</v>
      </c>
      <c r="AC76">
        <v>133559092</v>
      </c>
      <c r="AD76">
        <v>3.9550999999999998</v>
      </c>
      <c r="AE76" t="s">
        <v>822</v>
      </c>
      <c r="AF76" t="s">
        <v>823</v>
      </c>
      <c r="AG76" t="s">
        <v>824</v>
      </c>
      <c r="AH76">
        <v>10</v>
      </c>
      <c r="AI76">
        <v>10</v>
      </c>
      <c r="AJ76">
        <v>0</v>
      </c>
      <c r="AK76" t="s">
        <v>1433</v>
      </c>
    </row>
    <row r="77" spans="1:37">
      <c r="A77">
        <v>20</v>
      </c>
      <c r="C77" t="s">
        <v>41</v>
      </c>
      <c r="D77">
        <v>169967233</v>
      </c>
      <c r="E77">
        <v>169967241</v>
      </c>
      <c r="F77" t="s">
        <v>1539</v>
      </c>
      <c r="G77" t="s">
        <v>1540</v>
      </c>
      <c r="H77" t="s">
        <v>1428</v>
      </c>
      <c r="I77" t="s">
        <v>1429</v>
      </c>
      <c r="J77" t="s">
        <v>1360</v>
      </c>
      <c r="K77" t="s">
        <v>1361</v>
      </c>
      <c r="L77" t="s">
        <v>1477</v>
      </c>
      <c r="M77">
        <v>14</v>
      </c>
      <c r="N77">
        <v>6</v>
      </c>
      <c r="O77">
        <v>0</v>
      </c>
      <c r="P77">
        <v>46</v>
      </c>
      <c r="Q77">
        <v>3</v>
      </c>
      <c r="R77">
        <v>0</v>
      </c>
      <c r="S77">
        <v>3</v>
      </c>
      <c r="T77">
        <v>2</v>
      </c>
      <c r="U77">
        <v>0</v>
      </c>
      <c r="V77">
        <v>3</v>
      </c>
      <c r="W77">
        <v>0</v>
      </c>
      <c r="X77" t="s">
        <v>1541</v>
      </c>
      <c r="Y77" t="s">
        <v>1529</v>
      </c>
      <c r="Z77" t="s">
        <v>255</v>
      </c>
      <c r="AA77" t="s">
        <v>41</v>
      </c>
      <c r="AB77">
        <v>169967229</v>
      </c>
      <c r="AC77">
        <v>169967251</v>
      </c>
      <c r="AD77">
        <v>2.1789999999999998</v>
      </c>
      <c r="AE77" t="s">
        <v>822</v>
      </c>
      <c r="AF77" t="s">
        <v>823</v>
      </c>
      <c r="AG77" t="s">
        <v>824</v>
      </c>
      <c r="AH77">
        <v>8</v>
      </c>
      <c r="AI77">
        <v>8</v>
      </c>
      <c r="AJ77">
        <v>0</v>
      </c>
      <c r="AK77" t="s">
        <v>1433</v>
      </c>
    </row>
    <row r="78" spans="1:37">
      <c r="A78">
        <v>21</v>
      </c>
      <c r="C78" t="s">
        <v>46</v>
      </c>
      <c r="D78">
        <v>139232070</v>
      </c>
      <c r="E78">
        <v>139232080</v>
      </c>
      <c r="F78" t="s">
        <v>1542</v>
      </c>
      <c r="G78" t="s">
        <v>1543</v>
      </c>
      <c r="H78" t="s">
        <v>1544</v>
      </c>
      <c r="I78" t="s">
        <v>1545</v>
      </c>
      <c r="J78" t="s">
        <v>1365</v>
      </c>
      <c r="K78" t="s">
        <v>1361</v>
      </c>
      <c r="L78" t="s">
        <v>1438</v>
      </c>
      <c r="M78">
        <v>14</v>
      </c>
      <c r="N78">
        <v>6</v>
      </c>
      <c r="O78">
        <v>0</v>
      </c>
      <c r="P78">
        <v>46</v>
      </c>
      <c r="Q78">
        <v>3</v>
      </c>
      <c r="R78">
        <v>0</v>
      </c>
      <c r="S78">
        <v>3</v>
      </c>
      <c r="T78">
        <v>1</v>
      </c>
      <c r="U78">
        <v>0</v>
      </c>
      <c r="V78">
        <v>2</v>
      </c>
      <c r="W78">
        <v>0</v>
      </c>
      <c r="X78" t="s">
        <v>1546</v>
      </c>
      <c r="Y78" t="s">
        <v>1547</v>
      </c>
      <c r="Z78" t="s">
        <v>255</v>
      </c>
      <c r="AA78" t="s">
        <v>46</v>
      </c>
      <c r="AB78">
        <v>139232061</v>
      </c>
      <c r="AC78">
        <v>139232083</v>
      </c>
      <c r="AD78">
        <v>1.9775</v>
      </c>
      <c r="AE78" t="s">
        <v>822</v>
      </c>
      <c r="AF78" t="s">
        <v>823</v>
      </c>
      <c r="AG78" t="s">
        <v>824</v>
      </c>
      <c r="AH78">
        <v>9</v>
      </c>
      <c r="AI78">
        <v>8</v>
      </c>
      <c r="AJ78">
        <v>0</v>
      </c>
      <c r="AK78" t="s">
        <v>1433</v>
      </c>
    </row>
    <row r="79" spans="1:37">
      <c r="A79">
        <v>22</v>
      </c>
      <c r="C79" t="s">
        <v>47</v>
      </c>
      <c r="D79">
        <v>25020865</v>
      </c>
      <c r="E79">
        <v>25020878</v>
      </c>
      <c r="F79" t="s">
        <v>1548</v>
      </c>
      <c r="G79" t="s">
        <v>1549</v>
      </c>
      <c r="H79" t="s">
        <v>1436</v>
      </c>
      <c r="I79" t="s">
        <v>1523</v>
      </c>
      <c r="J79" t="s">
        <v>1365</v>
      </c>
      <c r="K79" t="s">
        <v>1361</v>
      </c>
      <c r="L79" t="s">
        <v>1513</v>
      </c>
      <c r="M79">
        <v>14</v>
      </c>
      <c r="N79">
        <v>6</v>
      </c>
      <c r="O79">
        <v>0</v>
      </c>
      <c r="P79">
        <v>46</v>
      </c>
      <c r="Q79">
        <v>3</v>
      </c>
      <c r="R79">
        <v>0</v>
      </c>
      <c r="S79">
        <v>3</v>
      </c>
      <c r="T79">
        <v>3</v>
      </c>
      <c r="U79">
        <v>0</v>
      </c>
      <c r="V79">
        <v>3</v>
      </c>
      <c r="W79">
        <v>0</v>
      </c>
      <c r="X79" t="s">
        <v>1550</v>
      </c>
      <c r="Y79" t="s">
        <v>1551</v>
      </c>
      <c r="Z79" t="s">
        <v>255</v>
      </c>
      <c r="AA79" t="s">
        <v>47</v>
      </c>
      <c r="AB79">
        <v>25020857</v>
      </c>
      <c r="AC79">
        <v>25020879</v>
      </c>
      <c r="AD79">
        <v>0.74719999999999998</v>
      </c>
      <c r="AE79" t="s">
        <v>822</v>
      </c>
      <c r="AF79" t="s">
        <v>823</v>
      </c>
      <c r="AG79" t="s">
        <v>824</v>
      </c>
      <c r="AH79">
        <v>11</v>
      </c>
      <c r="AI79">
        <v>10</v>
      </c>
      <c r="AJ79">
        <v>0</v>
      </c>
      <c r="AK79" t="s">
        <v>1433</v>
      </c>
    </row>
    <row r="80" spans="1:37" s="105" customFormat="1">
      <c r="A80" s="105">
        <v>23</v>
      </c>
      <c r="B80" s="105">
        <v>23</v>
      </c>
      <c r="C80" s="105" t="s">
        <v>53</v>
      </c>
      <c r="D80" s="105">
        <v>7012400</v>
      </c>
      <c r="E80" s="105">
        <v>7012413</v>
      </c>
      <c r="F80" s="105" t="s">
        <v>1552</v>
      </c>
      <c r="G80" s="105" t="s">
        <v>1553</v>
      </c>
      <c r="H80" s="105" t="s">
        <v>1467</v>
      </c>
      <c r="I80" s="105" t="s">
        <v>1468</v>
      </c>
      <c r="J80" s="105" t="s">
        <v>1365</v>
      </c>
      <c r="K80" s="105" t="s">
        <v>1361</v>
      </c>
      <c r="L80" s="105" t="s">
        <v>1513</v>
      </c>
      <c r="M80" s="105">
        <v>14</v>
      </c>
      <c r="N80" s="105">
        <v>6</v>
      </c>
      <c r="O80" s="105">
        <v>0</v>
      </c>
      <c r="P80" s="105">
        <v>46</v>
      </c>
      <c r="Q80" s="105">
        <v>3</v>
      </c>
      <c r="R80" s="105">
        <v>0</v>
      </c>
      <c r="S80" s="105">
        <v>3</v>
      </c>
      <c r="T80" s="105">
        <v>1</v>
      </c>
      <c r="U80" s="105">
        <v>0</v>
      </c>
      <c r="V80" s="105">
        <v>1</v>
      </c>
      <c r="W80" s="105">
        <v>0</v>
      </c>
      <c r="X80" s="105" t="s">
        <v>1554</v>
      </c>
      <c r="Y80" s="105" t="s">
        <v>1555</v>
      </c>
      <c r="Z80" s="105" t="s">
        <v>255</v>
      </c>
      <c r="AA80" s="105" t="s">
        <v>53</v>
      </c>
      <c r="AB80" s="105">
        <v>7012393</v>
      </c>
      <c r="AC80" s="105">
        <v>7012415</v>
      </c>
      <c r="AD80" s="105">
        <v>0.1167</v>
      </c>
      <c r="AE80" s="105" t="s">
        <v>822</v>
      </c>
      <c r="AF80" s="105" t="s">
        <v>823</v>
      </c>
      <c r="AG80" s="105" t="s">
        <v>824</v>
      </c>
      <c r="AH80" s="105">
        <v>12</v>
      </c>
      <c r="AI80" s="105">
        <v>12</v>
      </c>
      <c r="AJ80" s="105">
        <v>0</v>
      </c>
      <c r="AK80" s="105" t="s">
        <v>1433</v>
      </c>
    </row>
    <row r="81" spans="1:38">
      <c r="A81">
        <v>24</v>
      </c>
      <c r="C81" t="s">
        <v>45</v>
      </c>
      <c r="D81">
        <v>3150217</v>
      </c>
      <c r="E81">
        <v>3150225</v>
      </c>
      <c r="F81" t="s">
        <v>1556</v>
      </c>
      <c r="G81" t="s">
        <v>1557</v>
      </c>
      <c r="H81" t="s">
        <v>1558</v>
      </c>
      <c r="I81" t="s">
        <v>1559</v>
      </c>
      <c r="J81" t="s">
        <v>1360</v>
      </c>
      <c r="K81" t="s">
        <v>1361</v>
      </c>
      <c r="L81" t="s">
        <v>1513</v>
      </c>
      <c r="M81">
        <v>14</v>
      </c>
      <c r="N81">
        <v>6</v>
      </c>
      <c r="O81">
        <v>0</v>
      </c>
      <c r="P81">
        <v>46</v>
      </c>
      <c r="Q81">
        <v>3</v>
      </c>
      <c r="R81">
        <v>0</v>
      </c>
      <c r="S81">
        <v>3</v>
      </c>
      <c r="T81">
        <v>3</v>
      </c>
      <c r="U81">
        <v>0</v>
      </c>
      <c r="V81">
        <v>3</v>
      </c>
      <c r="W81">
        <v>0</v>
      </c>
      <c r="X81" t="s">
        <v>1560</v>
      </c>
      <c r="Y81" t="s">
        <v>1561</v>
      </c>
      <c r="Z81" t="s">
        <v>255</v>
      </c>
      <c r="AA81" t="s">
        <v>45</v>
      </c>
      <c r="AB81">
        <v>3150212</v>
      </c>
      <c r="AC81">
        <v>3150234</v>
      </c>
      <c r="AD81">
        <v>0.1052</v>
      </c>
      <c r="AE81" t="s">
        <v>822</v>
      </c>
      <c r="AF81" t="s">
        <v>823</v>
      </c>
      <c r="AG81" t="s">
        <v>824</v>
      </c>
      <c r="AH81">
        <v>7</v>
      </c>
      <c r="AI81">
        <v>5</v>
      </c>
      <c r="AJ81">
        <v>0</v>
      </c>
      <c r="AK81" t="s">
        <v>1433</v>
      </c>
    </row>
    <row r="82" spans="1:38">
      <c r="A82">
        <v>25</v>
      </c>
      <c r="C82" t="s">
        <v>40</v>
      </c>
      <c r="D82">
        <v>110567851</v>
      </c>
      <c r="E82">
        <v>110567855</v>
      </c>
      <c r="F82" t="s">
        <v>1562</v>
      </c>
      <c r="G82" t="s">
        <v>1563</v>
      </c>
      <c r="H82" t="s">
        <v>1564</v>
      </c>
      <c r="I82" t="s">
        <v>1565</v>
      </c>
      <c r="J82" t="s">
        <v>1360</v>
      </c>
      <c r="K82" t="s">
        <v>1361</v>
      </c>
      <c r="L82" t="s">
        <v>1513</v>
      </c>
      <c r="M82">
        <v>14</v>
      </c>
      <c r="N82">
        <v>6</v>
      </c>
      <c r="O82">
        <v>0</v>
      </c>
      <c r="P82">
        <v>46</v>
      </c>
      <c r="Q82">
        <v>3</v>
      </c>
      <c r="R82">
        <v>0</v>
      </c>
      <c r="S82">
        <v>3</v>
      </c>
      <c r="T82">
        <v>3</v>
      </c>
      <c r="U82">
        <v>0</v>
      </c>
      <c r="V82">
        <v>3</v>
      </c>
      <c r="W82">
        <v>0</v>
      </c>
      <c r="X82" t="s">
        <v>1566</v>
      </c>
      <c r="Y82" t="s">
        <v>1567</v>
      </c>
      <c r="Z82" t="s">
        <v>255</v>
      </c>
      <c r="AA82" t="s">
        <v>40</v>
      </c>
      <c r="AB82">
        <v>110567843</v>
      </c>
      <c r="AC82">
        <v>110567865</v>
      </c>
      <c r="AD82">
        <v>8.8900000000000007E-2</v>
      </c>
      <c r="AE82" t="s">
        <v>822</v>
      </c>
      <c r="AF82" t="s">
        <v>823</v>
      </c>
      <c r="AG82" t="s">
        <v>824</v>
      </c>
      <c r="AH82">
        <v>4</v>
      </c>
      <c r="AI82">
        <v>3</v>
      </c>
      <c r="AJ82">
        <v>0</v>
      </c>
      <c r="AK82" t="s">
        <v>1433</v>
      </c>
    </row>
    <row r="83" spans="1:38" s="68" customFormat="1">
      <c r="A83" s="68">
        <v>26</v>
      </c>
      <c r="C83" s="68" t="s">
        <v>55</v>
      </c>
      <c r="D83" s="68">
        <v>23435743</v>
      </c>
      <c r="E83" s="68">
        <v>23435773</v>
      </c>
      <c r="F83" s="68" t="s">
        <v>1573</v>
      </c>
      <c r="G83" s="68" t="s">
        <v>862</v>
      </c>
      <c r="H83" s="68" t="s">
        <v>1574</v>
      </c>
      <c r="I83" s="68" t="s">
        <v>1575</v>
      </c>
      <c r="J83" s="68" t="s">
        <v>1576</v>
      </c>
      <c r="K83" s="68" t="s">
        <v>1470</v>
      </c>
      <c r="L83" s="68" t="s">
        <v>1577</v>
      </c>
      <c r="M83" s="68">
        <v>17</v>
      </c>
      <c r="N83" s="68">
        <v>6</v>
      </c>
      <c r="O83" s="68">
        <v>0</v>
      </c>
      <c r="P83" s="68">
        <v>61</v>
      </c>
      <c r="Q83" s="68">
        <v>3</v>
      </c>
      <c r="R83" s="68">
        <v>0</v>
      </c>
      <c r="S83" s="68">
        <v>3</v>
      </c>
      <c r="T83" s="68">
        <v>3</v>
      </c>
      <c r="U83" s="68">
        <v>0</v>
      </c>
      <c r="V83" s="68">
        <v>3</v>
      </c>
      <c r="W83" s="68">
        <v>0</v>
      </c>
      <c r="X83" s="68" t="s">
        <v>1578</v>
      </c>
      <c r="Y83" s="68" t="s">
        <v>1579</v>
      </c>
      <c r="Z83" s="68" t="s">
        <v>255</v>
      </c>
      <c r="AA83" s="68" t="s">
        <v>55</v>
      </c>
      <c r="AB83" s="68">
        <v>23435752</v>
      </c>
      <c r="AC83" s="68">
        <v>23435774</v>
      </c>
      <c r="AD83" s="68">
        <v>38.343200000000003</v>
      </c>
      <c r="AE83" s="68" t="s">
        <v>823</v>
      </c>
      <c r="AF83" s="68" t="s">
        <v>822</v>
      </c>
      <c r="AG83" s="68" t="s">
        <v>861</v>
      </c>
      <c r="AH83" s="68">
        <v>18</v>
      </c>
      <c r="AI83" s="68">
        <v>18</v>
      </c>
      <c r="AJ83" s="68">
        <v>0</v>
      </c>
      <c r="AK83" s="68" t="s">
        <v>1433</v>
      </c>
      <c r="AL83" s="68" t="s">
        <v>1026</v>
      </c>
    </row>
    <row r="84" spans="1:38" s="105" customFormat="1">
      <c r="A84" s="105">
        <v>27</v>
      </c>
      <c r="B84" s="105">
        <v>27</v>
      </c>
      <c r="C84" s="105" t="s">
        <v>55</v>
      </c>
      <c r="D84" s="105">
        <v>16189904</v>
      </c>
      <c r="E84" s="105">
        <v>16189922</v>
      </c>
      <c r="F84" s="105" t="s">
        <v>1494</v>
      </c>
      <c r="G84" s="105" t="s">
        <v>1495</v>
      </c>
      <c r="H84" s="105" t="s">
        <v>1443</v>
      </c>
      <c r="I84" s="105" t="s">
        <v>1496</v>
      </c>
      <c r="J84" s="105" t="s">
        <v>1360</v>
      </c>
      <c r="K84" s="105" t="s">
        <v>1361</v>
      </c>
      <c r="L84" s="105" t="s">
        <v>1457</v>
      </c>
      <c r="M84" s="105">
        <v>15</v>
      </c>
      <c r="N84" s="105">
        <v>5</v>
      </c>
      <c r="O84" s="105">
        <v>2</v>
      </c>
      <c r="P84" s="105">
        <v>23</v>
      </c>
      <c r="Q84" s="105">
        <v>2</v>
      </c>
      <c r="R84" s="105">
        <v>2</v>
      </c>
      <c r="S84" s="105">
        <v>4</v>
      </c>
      <c r="T84" s="105">
        <v>3</v>
      </c>
      <c r="U84" s="105">
        <v>0</v>
      </c>
      <c r="V84" s="105">
        <v>3</v>
      </c>
      <c r="W84" s="105">
        <v>0</v>
      </c>
      <c r="X84" s="105" t="s">
        <v>1497</v>
      </c>
      <c r="Y84" s="105" t="s">
        <v>1498</v>
      </c>
      <c r="Z84" s="105" t="s">
        <v>1499</v>
      </c>
      <c r="AA84" s="105" t="s">
        <v>55</v>
      </c>
      <c r="AB84" s="105">
        <v>16189905</v>
      </c>
      <c r="AC84" s="105">
        <v>16189929</v>
      </c>
      <c r="AD84" s="105">
        <v>1.0702</v>
      </c>
      <c r="AE84" s="105" t="s">
        <v>823</v>
      </c>
      <c r="AF84" s="105" t="s">
        <v>823</v>
      </c>
      <c r="AG84" s="105" t="s">
        <v>824</v>
      </c>
      <c r="AH84" s="105">
        <v>13</v>
      </c>
      <c r="AI84" s="105">
        <v>12</v>
      </c>
      <c r="AJ84" s="105">
        <v>0</v>
      </c>
      <c r="AK84" s="105" t="s">
        <v>1433</v>
      </c>
    </row>
    <row r="85" spans="1:38">
      <c r="A85">
        <v>28</v>
      </c>
      <c r="C85" t="s">
        <v>56</v>
      </c>
      <c r="D85">
        <v>36075278</v>
      </c>
      <c r="E85">
        <v>36075292</v>
      </c>
      <c r="F85" t="s">
        <v>1580</v>
      </c>
      <c r="G85" t="s">
        <v>1581</v>
      </c>
      <c r="H85" t="s">
        <v>1436</v>
      </c>
      <c r="I85" t="s">
        <v>1582</v>
      </c>
      <c r="J85" t="s">
        <v>1360</v>
      </c>
      <c r="K85" t="s">
        <v>1361</v>
      </c>
      <c r="L85" t="s">
        <v>1457</v>
      </c>
      <c r="M85">
        <v>15</v>
      </c>
      <c r="N85">
        <v>5</v>
      </c>
      <c r="O85">
        <v>1</v>
      </c>
      <c r="P85">
        <v>31</v>
      </c>
      <c r="Q85">
        <v>2</v>
      </c>
      <c r="R85">
        <v>1</v>
      </c>
      <c r="S85">
        <v>3</v>
      </c>
      <c r="T85">
        <v>3</v>
      </c>
      <c r="U85">
        <v>0</v>
      </c>
      <c r="V85">
        <v>3</v>
      </c>
      <c r="W85">
        <v>0</v>
      </c>
      <c r="X85" t="s">
        <v>1583</v>
      </c>
      <c r="Y85" t="s">
        <v>1584</v>
      </c>
      <c r="Z85" t="s">
        <v>1585</v>
      </c>
      <c r="AA85" t="s">
        <v>56</v>
      </c>
      <c r="AB85">
        <v>36075278</v>
      </c>
      <c r="AC85">
        <v>36075301</v>
      </c>
      <c r="AD85">
        <v>0.13819999999999999</v>
      </c>
      <c r="AE85" t="s">
        <v>823</v>
      </c>
      <c r="AF85" t="s">
        <v>823</v>
      </c>
      <c r="AG85" t="s">
        <v>824</v>
      </c>
      <c r="AH85">
        <v>11</v>
      </c>
      <c r="AI85">
        <v>9</v>
      </c>
      <c r="AJ85">
        <v>0</v>
      </c>
      <c r="AK85" t="s">
        <v>1433</v>
      </c>
    </row>
    <row r="86" spans="1:38">
      <c r="A86">
        <v>29</v>
      </c>
      <c r="C86" t="s">
        <v>53</v>
      </c>
      <c r="D86">
        <v>77130218</v>
      </c>
      <c r="E86">
        <v>77130236</v>
      </c>
      <c r="F86" t="s">
        <v>1586</v>
      </c>
      <c r="G86" t="s">
        <v>1587</v>
      </c>
      <c r="H86" t="s">
        <v>1489</v>
      </c>
      <c r="I86" t="s">
        <v>1588</v>
      </c>
      <c r="J86" t="s">
        <v>1365</v>
      </c>
      <c r="K86" t="s">
        <v>1361</v>
      </c>
      <c r="L86" t="s">
        <v>1457</v>
      </c>
      <c r="M86">
        <v>14</v>
      </c>
      <c r="N86">
        <v>5</v>
      </c>
      <c r="O86">
        <v>1</v>
      </c>
      <c r="P86">
        <v>26</v>
      </c>
      <c r="Q86">
        <v>2</v>
      </c>
      <c r="R86">
        <v>1</v>
      </c>
      <c r="S86">
        <v>3</v>
      </c>
      <c r="T86">
        <v>3</v>
      </c>
      <c r="U86">
        <v>0</v>
      </c>
      <c r="V86">
        <v>3</v>
      </c>
      <c r="W86">
        <v>0</v>
      </c>
      <c r="X86" t="s">
        <v>1589</v>
      </c>
      <c r="Y86" t="s">
        <v>1590</v>
      </c>
      <c r="Z86" t="s">
        <v>255</v>
      </c>
      <c r="AA86" t="s">
        <v>53</v>
      </c>
      <c r="AB86">
        <v>77130213</v>
      </c>
      <c r="AC86">
        <v>77130234</v>
      </c>
      <c r="AD86">
        <v>0.3664</v>
      </c>
      <c r="AE86" t="s">
        <v>823</v>
      </c>
      <c r="AF86" t="s">
        <v>823</v>
      </c>
      <c r="AG86" t="s">
        <v>824</v>
      </c>
      <c r="AH86">
        <v>14</v>
      </c>
      <c r="AI86">
        <v>13</v>
      </c>
      <c r="AJ86">
        <v>0</v>
      </c>
      <c r="AK86" t="s">
        <v>1433</v>
      </c>
    </row>
    <row r="87" spans="1:38" s="105" customFormat="1">
      <c r="A87" s="105">
        <v>30</v>
      </c>
      <c r="B87" s="105">
        <v>30</v>
      </c>
      <c r="C87" s="105" t="s">
        <v>53</v>
      </c>
      <c r="D87" s="105">
        <v>48026500</v>
      </c>
      <c r="E87" s="105">
        <v>48026509</v>
      </c>
      <c r="F87" s="105" t="s">
        <v>1597</v>
      </c>
      <c r="G87" s="105" t="s">
        <v>1598</v>
      </c>
      <c r="H87" s="105" t="s">
        <v>1564</v>
      </c>
      <c r="I87" s="105" t="s">
        <v>1599</v>
      </c>
      <c r="J87" s="105" t="s">
        <v>1365</v>
      </c>
      <c r="K87" s="105" t="s">
        <v>1361</v>
      </c>
      <c r="L87" s="105" t="s">
        <v>1477</v>
      </c>
      <c r="M87" s="105">
        <v>15</v>
      </c>
      <c r="N87" s="105">
        <v>5</v>
      </c>
      <c r="O87" s="105">
        <v>0</v>
      </c>
      <c r="P87" s="105">
        <v>55</v>
      </c>
      <c r="Q87" s="105">
        <v>2</v>
      </c>
      <c r="R87" s="105">
        <v>0</v>
      </c>
      <c r="S87" s="105">
        <v>2</v>
      </c>
      <c r="T87" s="105">
        <v>2</v>
      </c>
      <c r="U87" s="105">
        <v>0</v>
      </c>
      <c r="V87" s="105">
        <v>3</v>
      </c>
      <c r="W87" s="105">
        <v>0</v>
      </c>
      <c r="X87" s="105" t="s">
        <v>1600</v>
      </c>
      <c r="Y87" s="105" t="s">
        <v>1601</v>
      </c>
      <c r="Z87" s="105" t="s">
        <v>255</v>
      </c>
      <c r="AA87" s="105" t="s">
        <v>53</v>
      </c>
      <c r="AB87" s="105">
        <v>48026475</v>
      </c>
      <c r="AC87" s="105">
        <v>48026497</v>
      </c>
      <c r="AD87" s="105">
        <v>2.4899999999999999E-2</v>
      </c>
      <c r="AE87" s="105" t="s">
        <v>823</v>
      </c>
      <c r="AF87" s="105" t="s">
        <v>823</v>
      </c>
      <c r="AG87" s="105" t="s">
        <v>824</v>
      </c>
      <c r="AH87" s="105">
        <v>4</v>
      </c>
      <c r="AI87" s="105">
        <v>4</v>
      </c>
      <c r="AJ87" s="105">
        <v>0</v>
      </c>
      <c r="AK87" s="105" t="s">
        <v>1433</v>
      </c>
    </row>
    <row r="88" spans="1:38">
      <c r="A88">
        <v>31</v>
      </c>
      <c r="C88" t="s">
        <v>56</v>
      </c>
      <c r="D88">
        <v>110199810</v>
      </c>
      <c r="E88">
        <v>110199831</v>
      </c>
      <c r="F88" t="s">
        <v>1591</v>
      </c>
      <c r="G88" t="s">
        <v>847</v>
      </c>
      <c r="H88" t="s">
        <v>1592</v>
      </c>
      <c r="I88" t="s">
        <v>1593</v>
      </c>
      <c r="J88" t="s">
        <v>1469</v>
      </c>
      <c r="K88" t="s">
        <v>1470</v>
      </c>
      <c r="L88" t="s">
        <v>1594</v>
      </c>
      <c r="M88">
        <v>18</v>
      </c>
      <c r="N88">
        <v>5</v>
      </c>
      <c r="O88">
        <v>0</v>
      </c>
      <c r="P88">
        <v>70</v>
      </c>
      <c r="Q88">
        <v>3</v>
      </c>
      <c r="R88">
        <v>0</v>
      </c>
      <c r="S88">
        <v>3</v>
      </c>
      <c r="T88">
        <v>2</v>
      </c>
      <c r="U88">
        <v>0</v>
      </c>
      <c r="V88">
        <v>2</v>
      </c>
      <c r="W88">
        <v>0</v>
      </c>
      <c r="X88" t="s">
        <v>1595</v>
      </c>
      <c r="Y88" t="s">
        <v>1596</v>
      </c>
      <c r="Z88" t="s">
        <v>255</v>
      </c>
      <c r="AA88" t="s">
        <v>56</v>
      </c>
      <c r="AB88">
        <v>110199815</v>
      </c>
      <c r="AC88">
        <v>110199837</v>
      </c>
      <c r="AD88">
        <v>36.790700000000001</v>
      </c>
      <c r="AE88" t="s">
        <v>823</v>
      </c>
      <c r="AF88" t="s">
        <v>822</v>
      </c>
      <c r="AG88" t="s">
        <v>846</v>
      </c>
      <c r="AH88">
        <v>15</v>
      </c>
      <c r="AI88">
        <v>15</v>
      </c>
      <c r="AJ88">
        <v>0</v>
      </c>
      <c r="AK88" t="s">
        <v>1433</v>
      </c>
      <c r="AL88" s="18" t="s">
        <v>1027</v>
      </c>
    </row>
    <row r="89" spans="1:38">
      <c r="A89">
        <v>32</v>
      </c>
      <c r="C89" t="s">
        <v>58</v>
      </c>
      <c r="D89">
        <v>50601549</v>
      </c>
      <c r="E89">
        <v>50601558</v>
      </c>
      <c r="F89" t="s">
        <v>1602</v>
      </c>
      <c r="G89" t="s">
        <v>1603</v>
      </c>
      <c r="H89" t="s">
        <v>1428</v>
      </c>
      <c r="I89" t="s">
        <v>1429</v>
      </c>
      <c r="J89" t="s">
        <v>1365</v>
      </c>
      <c r="K89" t="s">
        <v>1361</v>
      </c>
      <c r="L89" t="s">
        <v>1457</v>
      </c>
      <c r="M89">
        <v>17</v>
      </c>
      <c r="N89">
        <v>3</v>
      </c>
      <c r="O89">
        <v>2</v>
      </c>
      <c r="P89">
        <v>41</v>
      </c>
      <c r="Q89">
        <v>0</v>
      </c>
      <c r="R89">
        <v>2</v>
      </c>
      <c r="S89">
        <v>2</v>
      </c>
      <c r="T89">
        <v>1</v>
      </c>
      <c r="U89">
        <v>0</v>
      </c>
      <c r="V89">
        <v>3</v>
      </c>
      <c r="W89">
        <v>0</v>
      </c>
      <c r="X89" t="s">
        <v>1604</v>
      </c>
      <c r="Y89" t="s">
        <v>1605</v>
      </c>
      <c r="Z89" t="s">
        <v>1606</v>
      </c>
      <c r="AA89" t="s">
        <v>58</v>
      </c>
      <c r="AB89">
        <v>50601539</v>
      </c>
      <c r="AC89">
        <v>50601563</v>
      </c>
      <c r="AD89">
        <v>5.7077</v>
      </c>
      <c r="AE89" t="s">
        <v>823</v>
      </c>
      <c r="AF89" t="s">
        <v>823</v>
      </c>
      <c r="AG89" t="s">
        <v>824</v>
      </c>
      <c r="AH89">
        <v>8</v>
      </c>
      <c r="AI89">
        <v>8</v>
      </c>
      <c r="AJ89">
        <v>0</v>
      </c>
      <c r="AK89" t="s">
        <v>1433</v>
      </c>
    </row>
    <row r="96" spans="1:38">
      <c r="C96"/>
      <c r="P96"/>
    </row>
    <row r="97" spans="1:16">
      <c r="A97" s="11" t="s">
        <v>59</v>
      </c>
      <c r="B97" s="11" t="s">
        <v>319</v>
      </c>
      <c r="C97" s="11" t="s">
        <v>318</v>
      </c>
      <c r="D97" s="11" t="s">
        <v>317</v>
      </c>
      <c r="E97" s="11" t="s">
        <v>316</v>
      </c>
      <c r="F97" s="11" t="s">
        <v>315</v>
      </c>
      <c r="G97" s="11" t="s">
        <v>314</v>
      </c>
      <c r="H97" s="11" t="s">
        <v>313</v>
      </c>
      <c r="I97" s="11" t="s">
        <v>312</v>
      </c>
      <c r="J97" s="11" t="s">
        <v>311</v>
      </c>
      <c r="K97" s="11" t="s">
        <v>310</v>
      </c>
      <c r="L97" s="11" t="s">
        <v>309</v>
      </c>
      <c r="M97" s="11" t="s">
        <v>308</v>
      </c>
      <c r="N97" s="10" t="s">
        <v>307</v>
      </c>
      <c r="P97"/>
    </row>
    <row r="98" spans="1:16">
      <c r="A98" s="6" t="s">
        <v>56</v>
      </c>
      <c r="B98" s="6">
        <v>43770819</v>
      </c>
      <c r="C98" s="6">
        <v>43770841</v>
      </c>
      <c r="D98" s="5" t="s">
        <v>342</v>
      </c>
      <c r="E98" s="5" t="s">
        <v>343</v>
      </c>
      <c r="F98" s="6" t="s">
        <v>294</v>
      </c>
      <c r="G98" s="6" t="s">
        <v>259</v>
      </c>
      <c r="H98" s="5" t="s">
        <v>294</v>
      </c>
      <c r="I98" s="5" t="s">
        <v>257</v>
      </c>
      <c r="J98" s="5" t="s">
        <v>256</v>
      </c>
      <c r="K98" s="6" t="s">
        <v>255</v>
      </c>
      <c r="L98" s="5">
        <v>0</v>
      </c>
      <c r="M98" s="5">
        <v>0</v>
      </c>
      <c r="N98" s="5">
        <v>0</v>
      </c>
      <c r="P98"/>
    </row>
    <row r="99" spans="1:16">
      <c r="A99" s="6" t="s">
        <v>49</v>
      </c>
      <c r="B99" s="6">
        <v>6714989</v>
      </c>
      <c r="C99" s="6">
        <v>6715011</v>
      </c>
      <c r="D99" s="5" t="s">
        <v>306</v>
      </c>
      <c r="E99" s="5" t="s">
        <v>305</v>
      </c>
      <c r="F99" s="5">
        <v>1925</v>
      </c>
      <c r="G99" s="5" t="s">
        <v>264</v>
      </c>
      <c r="H99" s="5" t="s">
        <v>258</v>
      </c>
      <c r="I99" s="5" t="s">
        <v>257</v>
      </c>
      <c r="J99" s="5" t="s">
        <v>256</v>
      </c>
      <c r="K99" s="5" t="s">
        <v>304</v>
      </c>
      <c r="L99" s="5">
        <v>3</v>
      </c>
      <c r="M99" s="5">
        <v>0</v>
      </c>
      <c r="N99" s="5">
        <v>3</v>
      </c>
      <c r="P99"/>
    </row>
    <row r="100" spans="1:16">
      <c r="A100" s="6" t="s">
        <v>41</v>
      </c>
      <c r="B100" s="6">
        <v>241275175</v>
      </c>
      <c r="C100" s="6">
        <v>241275197</v>
      </c>
      <c r="D100" s="5" t="s">
        <v>303</v>
      </c>
      <c r="E100" s="5" t="s">
        <v>302</v>
      </c>
      <c r="F100" s="5">
        <v>1549</v>
      </c>
      <c r="G100" s="5" t="s">
        <v>264</v>
      </c>
      <c r="H100" s="5" t="s">
        <v>258</v>
      </c>
      <c r="I100" s="5" t="s">
        <v>257</v>
      </c>
      <c r="J100" s="5" t="s">
        <v>256</v>
      </c>
      <c r="K100" s="5" t="s">
        <v>301</v>
      </c>
      <c r="L100" s="5">
        <v>4</v>
      </c>
      <c r="M100" s="5">
        <v>0</v>
      </c>
      <c r="N100" s="5">
        <v>4</v>
      </c>
      <c r="P100"/>
    </row>
    <row r="101" spans="1:16">
      <c r="A101" s="6" t="s">
        <v>43</v>
      </c>
      <c r="B101" s="6">
        <v>100837361</v>
      </c>
      <c r="C101" s="6">
        <v>100837383</v>
      </c>
      <c r="D101" s="5" t="s">
        <v>300</v>
      </c>
      <c r="E101" s="5" t="s">
        <v>299</v>
      </c>
      <c r="F101" s="5">
        <v>1178</v>
      </c>
      <c r="G101" s="5" t="s">
        <v>259</v>
      </c>
      <c r="H101" s="5" t="s">
        <v>258</v>
      </c>
      <c r="I101" s="5" t="s">
        <v>257</v>
      </c>
      <c r="J101" s="5" t="s">
        <v>256</v>
      </c>
      <c r="K101" s="5" t="s">
        <v>298</v>
      </c>
      <c r="L101" s="5">
        <v>4</v>
      </c>
      <c r="M101" s="5">
        <v>0</v>
      </c>
      <c r="N101" s="5">
        <v>4</v>
      </c>
      <c r="P101"/>
    </row>
    <row r="102" spans="1:16">
      <c r="A102" s="6" t="s">
        <v>45</v>
      </c>
      <c r="B102" s="6">
        <v>56929511</v>
      </c>
      <c r="C102" s="6">
        <v>56929533</v>
      </c>
      <c r="D102" s="5" t="s">
        <v>297</v>
      </c>
      <c r="E102" s="5" t="s">
        <v>296</v>
      </c>
      <c r="F102" s="5">
        <v>1107</v>
      </c>
      <c r="G102" s="5" t="s">
        <v>259</v>
      </c>
      <c r="H102" s="5" t="s">
        <v>258</v>
      </c>
      <c r="I102" s="5" t="s">
        <v>257</v>
      </c>
      <c r="J102" s="5" t="s">
        <v>256</v>
      </c>
      <c r="K102" s="5" t="s">
        <v>295</v>
      </c>
      <c r="L102" s="5">
        <v>4</v>
      </c>
      <c r="M102" s="5">
        <v>0</v>
      </c>
      <c r="N102" s="5">
        <v>4</v>
      </c>
      <c r="P102"/>
    </row>
    <row r="103" spans="1:16" s="7" customFormat="1">
      <c r="A103" s="9" t="s">
        <v>294</v>
      </c>
      <c r="B103" s="9" t="s">
        <v>294</v>
      </c>
      <c r="C103" s="8" t="s">
        <v>294</v>
      </c>
      <c r="D103" s="8" t="s">
        <v>293</v>
      </c>
      <c r="E103" s="8" t="s">
        <v>292</v>
      </c>
      <c r="F103" s="8">
        <v>1054</v>
      </c>
      <c r="G103" s="8" t="s">
        <v>264</v>
      </c>
      <c r="H103" s="8" t="s">
        <v>258</v>
      </c>
      <c r="I103" s="8" t="s">
        <v>257</v>
      </c>
      <c r="J103" s="8" t="s">
        <v>256</v>
      </c>
      <c r="K103" s="8" t="s">
        <v>291</v>
      </c>
      <c r="L103" s="8">
        <v>3</v>
      </c>
      <c r="M103" s="8">
        <v>0</v>
      </c>
      <c r="N103" s="8">
        <v>3</v>
      </c>
    </row>
    <row r="104" spans="1:16">
      <c r="A104" s="6" t="s">
        <v>44</v>
      </c>
      <c r="B104" s="6">
        <v>72237744</v>
      </c>
      <c r="C104" s="6">
        <v>72237766</v>
      </c>
      <c r="D104" s="5" t="s">
        <v>290</v>
      </c>
      <c r="E104" s="5" t="s">
        <v>289</v>
      </c>
      <c r="F104" s="5">
        <v>919</v>
      </c>
      <c r="G104" s="5" t="s">
        <v>264</v>
      </c>
      <c r="H104" s="5" t="s">
        <v>258</v>
      </c>
      <c r="I104" s="5" t="s">
        <v>257</v>
      </c>
      <c r="J104" s="5" t="s">
        <v>256</v>
      </c>
      <c r="K104" s="5" t="s">
        <v>288</v>
      </c>
      <c r="L104" s="5">
        <v>4</v>
      </c>
      <c r="M104" s="5">
        <v>0</v>
      </c>
      <c r="N104" s="5">
        <v>4</v>
      </c>
      <c r="P104"/>
    </row>
    <row r="105" spans="1:16">
      <c r="A105" s="6" t="s">
        <v>53</v>
      </c>
      <c r="B105" s="6">
        <v>4455451</v>
      </c>
      <c r="C105" s="6">
        <v>4455473</v>
      </c>
      <c r="D105" s="5" t="s">
        <v>287</v>
      </c>
      <c r="E105" s="5" t="s">
        <v>286</v>
      </c>
      <c r="F105" s="5">
        <v>803</v>
      </c>
      <c r="G105" s="5" t="s">
        <v>259</v>
      </c>
      <c r="H105" s="5" t="s">
        <v>258</v>
      </c>
      <c r="I105" s="5" t="s">
        <v>257</v>
      </c>
      <c r="J105" s="5" t="s">
        <v>256</v>
      </c>
      <c r="K105" s="5" t="s">
        <v>285</v>
      </c>
      <c r="L105" s="5">
        <v>3</v>
      </c>
      <c r="M105" s="5">
        <v>0</v>
      </c>
      <c r="N105" s="5">
        <v>3</v>
      </c>
      <c r="P105"/>
    </row>
    <row r="106" spans="1:16">
      <c r="A106" s="6" t="s">
        <v>53</v>
      </c>
      <c r="B106" s="6">
        <v>41888498</v>
      </c>
      <c r="C106" s="6">
        <v>41888520</v>
      </c>
      <c r="D106" s="5" t="s">
        <v>284</v>
      </c>
      <c r="E106" s="5" t="s">
        <v>283</v>
      </c>
      <c r="F106" s="5">
        <v>791</v>
      </c>
      <c r="G106" s="5" t="s">
        <v>259</v>
      </c>
      <c r="H106" s="5" t="s">
        <v>258</v>
      </c>
      <c r="I106" s="5" t="s">
        <v>257</v>
      </c>
      <c r="J106" s="5" t="s">
        <v>256</v>
      </c>
      <c r="K106" s="5" t="s">
        <v>282</v>
      </c>
      <c r="L106" s="5">
        <v>4</v>
      </c>
      <c r="M106" s="5">
        <v>0</v>
      </c>
      <c r="N106" s="5">
        <v>4</v>
      </c>
      <c r="P106"/>
    </row>
    <row r="107" spans="1:16">
      <c r="A107" s="6" t="s">
        <v>43</v>
      </c>
      <c r="B107" s="6">
        <v>27338860</v>
      </c>
      <c r="C107" s="6">
        <v>27338882</v>
      </c>
      <c r="D107" s="5" t="s">
        <v>281</v>
      </c>
      <c r="E107" s="5" t="s">
        <v>280</v>
      </c>
      <c r="F107" s="5">
        <v>767</v>
      </c>
      <c r="G107" s="5" t="s">
        <v>264</v>
      </c>
      <c r="H107" s="5" t="s">
        <v>258</v>
      </c>
      <c r="I107" s="5" t="s">
        <v>257</v>
      </c>
      <c r="J107" s="5" t="s">
        <v>256</v>
      </c>
      <c r="K107" s="5" t="s">
        <v>279</v>
      </c>
      <c r="L107" s="5">
        <v>3</v>
      </c>
      <c r="M107" s="5">
        <v>0</v>
      </c>
      <c r="N107" s="5">
        <v>3</v>
      </c>
      <c r="P107"/>
    </row>
    <row r="108" spans="1:16">
      <c r="A108" s="6" t="s">
        <v>42</v>
      </c>
      <c r="B108" s="6">
        <v>143740775</v>
      </c>
      <c r="C108" s="6">
        <v>143740797</v>
      </c>
      <c r="D108" s="5" t="s">
        <v>278</v>
      </c>
      <c r="E108" s="5" t="s">
        <v>277</v>
      </c>
      <c r="F108" s="5">
        <v>728</v>
      </c>
      <c r="G108" s="5" t="s">
        <v>264</v>
      </c>
      <c r="H108" s="5" t="s">
        <v>258</v>
      </c>
      <c r="I108" s="5" t="s">
        <v>257</v>
      </c>
      <c r="J108" s="5" t="s">
        <v>256</v>
      </c>
      <c r="K108" s="5" t="s">
        <v>276</v>
      </c>
      <c r="L108" s="5">
        <v>4</v>
      </c>
      <c r="M108" s="5">
        <v>0</v>
      </c>
      <c r="N108" s="5">
        <v>4</v>
      </c>
      <c r="P108"/>
    </row>
    <row r="109" spans="1:16">
      <c r="A109" s="6" t="s">
        <v>40</v>
      </c>
      <c r="B109" s="6">
        <v>114534491</v>
      </c>
      <c r="C109" s="6">
        <v>114534513</v>
      </c>
      <c r="D109" s="5" t="s">
        <v>275</v>
      </c>
      <c r="E109" s="5" t="s">
        <v>274</v>
      </c>
      <c r="F109" s="5">
        <v>704</v>
      </c>
      <c r="G109" s="5" t="s">
        <v>259</v>
      </c>
      <c r="H109" s="5" t="s">
        <v>258</v>
      </c>
      <c r="I109" s="5" t="s">
        <v>257</v>
      </c>
      <c r="J109" s="5" t="s">
        <v>256</v>
      </c>
      <c r="K109" s="5" t="s">
        <v>273</v>
      </c>
      <c r="L109" s="5">
        <v>4</v>
      </c>
      <c r="M109" s="5">
        <v>0</v>
      </c>
      <c r="N109" s="5">
        <v>4</v>
      </c>
      <c r="P109"/>
    </row>
    <row r="110" spans="1:16">
      <c r="A110" s="6" t="s">
        <v>58</v>
      </c>
      <c r="B110" s="6">
        <v>50446357</v>
      </c>
      <c r="C110" s="6">
        <v>50446379</v>
      </c>
      <c r="D110" s="5" t="s">
        <v>272</v>
      </c>
      <c r="E110" s="5" t="s">
        <v>271</v>
      </c>
      <c r="F110" s="5">
        <v>704</v>
      </c>
      <c r="G110" s="5" t="s">
        <v>264</v>
      </c>
      <c r="H110" s="5" t="s">
        <v>258</v>
      </c>
      <c r="I110" s="5" t="s">
        <v>257</v>
      </c>
      <c r="J110" s="5" t="s">
        <v>256</v>
      </c>
      <c r="K110" s="5" t="s">
        <v>270</v>
      </c>
      <c r="L110" s="5">
        <v>4</v>
      </c>
      <c r="M110" s="5">
        <v>0</v>
      </c>
      <c r="N110" s="5">
        <v>4</v>
      </c>
      <c r="P110"/>
    </row>
    <row r="111" spans="1:16">
      <c r="A111" s="6" t="s">
        <v>44</v>
      </c>
      <c r="B111" s="6">
        <v>76784739</v>
      </c>
      <c r="C111" s="6">
        <v>76784761</v>
      </c>
      <c r="D111" s="5" t="s">
        <v>269</v>
      </c>
      <c r="E111" s="5" t="s">
        <v>268</v>
      </c>
      <c r="F111" s="5">
        <v>627</v>
      </c>
      <c r="G111" s="5" t="s">
        <v>259</v>
      </c>
      <c r="H111" s="5" t="s">
        <v>258</v>
      </c>
      <c r="I111" s="5" t="s">
        <v>257</v>
      </c>
      <c r="J111" s="5" t="s">
        <v>256</v>
      </c>
      <c r="K111" s="5" t="s">
        <v>267</v>
      </c>
      <c r="L111" s="5">
        <v>4</v>
      </c>
      <c r="M111" s="5">
        <v>0</v>
      </c>
      <c r="N111" s="5">
        <v>4</v>
      </c>
      <c r="P111"/>
    </row>
    <row r="112" spans="1:16">
      <c r="A112" s="6" t="s">
        <v>55</v>
      </c>
      <c r="B112" s="6">
        <v>151059393</v>
      </c>
      <c r="C112" s="6">
        <v>151059415</v>
      </c>
      <c r="D112" s="5" t="s">
        <v>266</v>
      </c>
      <c r="E112" s="5" t="s">
        <v>265</v>
      </c>
      <c r="F112" s="5">
        <v>625</v>
      </c>
      <c r="G112" s="5" t="s">
        <v>264</v>
      </c>
      <c r="H112" s="5" t="s">
        <v>258</v>
      </c>
      <c r="I112" s="5" t="s">
        <v>257</v>
      </c>
      <c r="J112" s="5" t="s">
        <v>256</v>
      </c>
      <c r="K112" s="5" t="s">
        <v>263</v>
      </c>
      <c r="L112" s="5">
        <v>6</v>
      </c>
      <c r="M112" s="5">
        <v>0</v>
      </c>
      <c r="N112" s="5">
        <v>6</v>
      </c>
      <c r="P112"/>
    </row>
    <row r="113" spans="1:16">
      <c r="A113" s="6" t="s">
        <v>42</v>
      </c>
      <c r="B113" s="6">
        <v>143934231</v>
      </c>
      <c r="C113" s="6">
        <v>143934253</v>
      </c>
      <c r="D113" s="5" t="s">
        <v>262</v>
      </c>
      <c r="E113" s="5" t="s">
        <v>261</v>
      </c>
      <c r="F113" s="5">
        <v>603</v>
      </c>
      <c r="G113" s="5" t="s">
        <v>259</v>
      </c>
      <c r="H113" s="5" t="s">
        <v>258</v>
      </c>
      <c r="I113" s="5" t="s">
        <v>257</v>
      </c>
      <c r="J113" s="5" t="s">
        <v>256</v>
      </c>
      <c r="K113" s="5" t="s">
        <v>260</v>
      </c>
      <c r="L113" s="5">
        <v>6</v>
      </c>
      <c r="M113" s="5">
        <v>0</v>
      </c>
      <c r="N113" s="5">
        <v>6</v>
      </c>
      <c r="P113"/>
    </row>
    <row r="114" spans="1:16">
      <c r="C114"/>
      <c r="J114" t="s">
        <v>913</v>
      </c>
      <c r="P114"/>
    </row>
    <row r="115" spans="1:16">
      <c r="C115"/>
      <c r="P115"/>
    </row>
    <row r="116" spans="1:16">
      <c r="C116"/>
      <c r="P116"/>
    </row>
    <row r="117" spans="1:16">
      <c r="C117"/>
      <c r="P117"/>
    </row>
  </sheetData>
  <autoFilter ref="A1:AB51" xr:uid="{0A107B8B-9A2F-0A4E-B1DC-319B0958942E}">
    <sortState xmlns:xlrd2="http://schemas.microsoft.com/office/spreadsheetml/2017/richdata2" ref="A2:AB51">
      <sortCondition ref="A1:A51"/>
    </sortState>
  </autoFilter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35"/>
  <sheetViews>
    <sheetView topLeftCell="A13" zoomScale="89" zoomScaleNormal="120" workbookViewId="0">
      <selection activeCell="D20" sqref="D20"/>
    </sheetView>
  </sheetViews>
  <sheetFormatPr baseColWidth="10" defaultRowHeight="16"/>
  <cols>
    <col min="1" max="1" width="24.5" customWidth="1"/>
    <col min="2" max="2" width="11" customWidth="1"/>
    <col min="3" max="3" width="15" customWidth="1"/>
    <col min="4" max="4" width="15.33203125" customWidth="1"/>
    <col min="5" max="5" width="21.1640625" customWidth="1"/>
    <col min="6" max="6" width="8.5" customWidth="1"/>
    <col min="7" max="7" width="9" customWidth="1"/>
    <col min="8" max="8" width="41.6640625" bestFit="1" customWidth="1"/>
    <col min="9" max="9" width="42.33203125" bestFit="1" customWidth="1"/>
    <col min="10" max="10" width="27.33203125" customWidth="1"/>
    <col min="11" max="11" width="86.83203125" bestFit="1" customWidth="1"/>
    <col min="12" max="12" width="39.83203125" customWidth="1"/>
    <col min="13" max="13" width="10" customWidth="1"/>
    <col min="14" max="14" width="10.5" customWidth="1"/>
    <col min="21" max="22" width="11.5" bestFit="1" customWidth="1"/>
    <col min="23" max="23" width="37.1640625" bestFit="1" customWidth="1"/>
    <col min="25" max="25" width="22" bestFit="1" customWidth="1"/>
    <col min="33" max="33" width="27.1640625" customWidth="1"/>
  </cols>
  <sheetData>
    <row r="1" spans="1:28" ht="17">
      <c r="A1" s="11" t="s">
        <v>316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L1" s="3" t="s">
        <v>993</v>
      </c>
      <c r="M1" s="3" t="s">
        <v>85</v>
      </c>
      <c r="N1" s="3" t="s">
        <v>86</v>
      </c>
      <c r="O1" s="3" t="s">
        <v>87</v>
      </c>
      <c r="P1" s="3" t="s">
        <v>88</v>
      </c>
      <c r="Q1" s="3" t="s">
        <v>89</v>
      </c>
      <c r="U1" s="56" t="s">
        <v>335</v>
      </c>
    </row>
    <row r="2" spans="1:28" ht="16" customHeight="1">
      <c r="A2" s="16" t="s">
        <v>343</v>
      </c>
      <c r="B2" s="6" t="s">
        <v>56</v>
      </c>
      <c r="C2" s="12">
        <v>43770819</v>
      </c>
      <c r="D2" s="56">
        <v>43770841</v>
      </c>
      <c r="E2" t="s">
        <v>589</v>
      </c>
      <c r="F2">
        <v>4</v>
      </c>
      <c r="G2">
        <v>6</v>
      </c>
      <c r="H2" s="2" t="s">
        <v>356</v>
      </c>
      <c r="I2" s="2" t="s">
        <v>357</v>
      </c>
      <c r="J2" t="s">
        <v>350</v>
      </c>
      <c r="K2" t="s">
        <v>1183</v>
      </c>
      <c r="L2" s="2" t="s">
        <v>356</v>
      </c>
      <c r="M2" s="2">
        <v>20</v>
      </c>
      <c r="N2" s="2">
        <v>64.42</v>
      </c>
      <c r="O2" s="2">
        <v>65</v>
      </c>
      <c r="P2" s="2">
        <v>8</v>
      </c>
      <c r="Q2" s="2">
        <v>4</v>
      </c>
      <c r="R2" s="2">
        <v>280</v>
      </c>
      <c r="U2" s="15">
        <v>43770678</v>
      </c>
    </row>
    <row r="3" spans="1:28" ht="16" customHeight="1">
      <c r="A3" s="23" t="s">
        <v>305</v>
      </c>
      <c r="B3" s="6" t="s">
        <v>49</v>
      </c>
      <c r="C3" s="12">
        <v>6714989</v>
      </c>
      <c r="D3" s="56">
        <v>6715011</v>
      </c>
      <c r="E3" t="s">
        <v>320</v>
      </c>
      <c r="F3">
        <v>4</v>
      </c>
      <c r="G3">
        <v>6</v>
      </c>
      <c r="H3" s="2" t="s">
        <v>327</v>
      </c>
      <c r="I3" s="2" t="s">
        <v>324</v>
      </c>
      <c r="J3" t="s">
        <v>351</v>
      </c>
      <c r="K3" t="s">
        <v>517</v>
      </c>
      <c r="L3" s="2" t="s">
        <v>357</v>
      </c>
      <c r="M3" s="2">
        <v>20</v>
      </c>
      <c r="N3" s="2">
        <v>62.95</v>
      </c>
      <c r="O3" s="2">
        <v>65</v>
      </c>
      <c r="P3" s="2">
        <v>4</v>
      </c>
      <c r="Q3" s="2">
        <v>2</v>
      </c>
      <c r="U3" s="15">
        <v>43770957</v>
      </c>
    </row>
    <row r="4" spans="1:28" ht="16" customHeight="1">
      <c r="A4" s="8" t="s">
        <v>302</v>
      </c>
      <c r="B4" s="6" t="s">
        <v>41</v>
      </c>
      <c r="C4" s="12">
        <v>241275175</v>
      </c>
      <c r="D4" s="56">
        <v>241275197</v>
      </c>
      <c r="E4" t="s">
        <v>321</v>
      </c>
      <c r="F4">
        <v>4</v>
      </c>
      <c r="G4">
        <v>6</v>
      </c>
      <c r="H4" s="2" t="s">
        <v>333</v>
      </c>
      <c r="I4" s="2" t="s">
        <v>334</v>
      </c>
      <c r="J4" t="s">
        <v>325</v>
      </c>
      <c r="K4" t="s">
        <v>481</v>
      </c>
      <c r="L4" s="2" t="s">
        <v>327</v>
      </c>
      <c r="M4" s="2">
        <v>22</v>
      </c>
      <c r="N4" s="2">
        <v>55.42</v>
      </c>
      <c r="O4" s="2">
        <v>40.909999999999997</v>
      </c>
      <c r="P4" s="2">
        <v>4</v>
      </c>
      <c r="Q4" s="2">
        <v>0</v>
      </c>
      <c r="R4" s="2">
        <v>188</v>
      </c>
      <c r="U4" s="15">
        <v>6714895</v>
      </c>
    </row>
    <row r="5" spans="1:28" ht="16" customHeight="1">
      <c r="A5" s="5" t="s">
        <v>299</v>
      </c>
      <c r="B5" s="6" t="s">
        <v>43</v>
      </c>
      <c r="C5" s="12">
        <v>100837361</v>
      </c>
      <c r="D5" s="56">
        <v>100837383</v>
      </c>
      <c r="E5" t="s">
        <v>322</v>
      </c>
      <c r="F5">
        <v>4</v>
      </c>
      <c r="G5">
        <v>6</v>
      </c>
      <c r="H5" s="2" t="s">
        <v>337</v>
      </c>
      <c r="I5" s="2" t="s">
        <v>336</v>
      </c>
      <c r="J5" t="s">
        <v>326</v>
      </c>
      <c r="K5" t="s">
        <v>482</v>
      </c>
      <c r="L5" s="2" t="s">
        <v>324</v>
      </c>
      <c r="M5" s="2">
        <v>24</v>
      </c>
      <c r="N5" s="2">
        <v>57.33</v>
      </c>
      <c r="O5" s="2">
        <v>33.33</v>
      </c>
      <c r="P5" s="2">
        <v>7</v>
      </c>
      <c r="Q5" s="2">
        <v>4</v>
      </c>
      <c r="U5" s="15">
        <v>6715082</v>
      </c>
    </row>
    <row r="6" spans="1:28" ht="16" customHeight="1">
      <c r="A6" s="24" t="s">
        <v>289</v>
      </c>
      <c r="B6" s="6" t="s">
        <v>44</v>
      </c>
      <c r="C6" s="12">
        <v>72237744</v>
      </c>
      <c r="D6" s="56">
        <v>72237766</v>
      </c>
      <c r="E6" t="s">
        <v>323</v>
      </c>
      <c r="F6">
        <v>4</v>
      </c>
      <c r="G6">
        <v>6</v>
      </c>
      <c r="H6" s="26" t="s">
        <v>146</v>
      </c>
      <c r="I6" s="26" t="s">
        <v>147</v>
      </c>
      <c r="J6" t="s">
        <v>329</v>
      </c>
      <c r="K6" t="s">
        <v>344</v>
      </c>
      <c r="L6" s="2" t="s">
        <v>333</v>
      </c>
      <c r="M6" s="2">
        <v>20</v>
      </c>
      <c r="N6" s="2">
        <v>60.54</v>
      </c>
      <c r="O6" s="2">
        <v>55</v>
      </c>
      <c r="P6" s="2">
        <v>3</v>
      </c>
      <c r="Q6" s="2">
        <v>3</v>
      </c>
      <c r="R6" s="2">
        <v>175</v>
      </c>
      <c r="S6" s="2">
        <v>937</v>
      </c>
      <c r="T6" s="2">
        <v>2404</v>
      </c>
      <c r="U6" s="15">
        <v>241275114</v>
      </c>
    </row>
    <row r="7" spans="1:28" ht="16" customHeight="1">
      <c r="A7" s="5" t="s">
        <v>286</v>
      </c>
      <c r="B7" s="6" t="s">
        <v>53</v>
      </c>
      <c r="C7" s="12">
        <v>4455451</v>
      </c>
      <c r="D7" s="56">
        <v>4455473</v>
      </c>
      <c r="E7" t="s">
        <v>347</v>
      </c>
      <c r="F7">
        <v>4</v>
      </c>
      <c r="G7">
        <v>6</v>
      </c>
      <c r="H7" s="2" t="s">
        <v>348</v>
      </c>
      <c r="I7" s="2" t="s">
        <v>349</v>
      </c>
      <c r="J7" t="s">
        <v>330</v>
      </c>
      <c r="K7" t="s">
        <v>346</v>
      </c>
      <c r="L7" s="2" t="s">
        <v>334</v>
      </c>
      <c r="M7" s="2">
        <v>24</v>
      </c>
      <c r="N7" s="2">
        <v>61.42</v>
      </c>
      <c r="O7" s="2">
        <v>41.67</v>
      </c>
      <c r="P7" s="2">
        <v>4</v>
      </c>
      <c r="Q7" s="2">
        <v>0</v>
      </c>
      <c r="U7" s="15">
        <v>241275288</v>
      </c>
    </row>
    <row r="8" spans="1:28" ht="16" customHeight="1">
      <c r="D8" s="56"/>
      <c r="E8" s="5"/>
      <c r="J8" t="s">
        <v>331</v>
      </c>
      <c r="K8" t="s">
        <v>345</v>
      </c>
      <c r="L8" s="2" t="s">
        <v>337</v>
      </c>
      <c r="M8" s="2">
        <v>18</v>
      </c>
      <c r="N8" s="2">
        <v>62.03</v>
      </c>
      <c r="O8" s="2">
        <v>66.67</v>
      </c>
      <c r="P8" s="2">
        <v>6</v>
      </c>
      <c r="Q8" s="2">
        <v>3</v>
      </c>
      <c r="R8" s="2">
        <v>183</v>
      </c>
      <c r="U8" s="15">
        <v>100837308</v>
      </c>
      <c r="V8" t="s">
        <v>1401</v>
      </c>
      <c r="W8" s="2" t="s">
        <v>1399</v>
      </c>
      <c r="X8" s="2">
        <v>20</v>
      </c>
      <c r="Y8" s="2">
        <v>60.25</v>
      </c>
      <c r="Z8" s="2">
        <v>55</v>
      </c>
      <c r="AA8" s="2">
        <v>4</v>
      </c>
      <c r="AB8" s="2">
        <v>4</v>
      </c>
    </row>
    <row r="9" spans="1:28" ht="16" customHeight="1">
      <c r="B9" s="6"/>
      <c r="D9" s="56"/>
      <c r="J9" t="s">
        <v>332</v>
      </c>
      <c r="K9" t="s">
        <v>423</v>
      </c>
      <c r="L9" s="2" t="s">
        <v>336</v>
      </c>
      <c r="M9" s="2">
        <v>24</v>
      </c>
      <c r="N9" s="2">
        <v>59.42</v>
      </c>
      <c r="O9" s="2">
        <v>41.67</v>
      </c>
      <c r="P9" s="2">
        <v>4</v>
      </c>
      <c r="Q9" s="2">
        <v>3</v>
      </c>
      <c r="U9" s="15">
        <v>100837490</v>
      </c>
      <c r="W9" s="2" t="s">
        <v>1400</v>
      </c>
      <c r="X9" s="2">
        <v>22</v>
      </c>
      <c r="Y9" s="2">
        <v>60.22</v>
      </c>
      <c r="Z9" s="2">
        <v>45.45</v>
      </c>
      <c r="AA9" s="2">
        <v>4</v>
      </c>
      <c r="AB9" s="2">
        <v>3</v>
      </c>
    </row>
    <row r="10" spans="1:28" ht="17">
      <c r="A10" s="7" t="s">
        <v>128</v>
      </c>
      <c r="B10" t="s">
        <v>41</v>
      </c>
      <c r="C10">
        <v>241275124</v>
      </c>
      <c r="D10" s="56">
        <v>241275244</v>
      </c>
      <c r="E10" s="61" t="s">
        <v>802</v>
      </c>
      <c r="F10">
        <v>4</v>
      </c>
      <c r="G10">
        <v>6</v>
      </c>
      <c r="H10" s="2" t="s">
        <v>134</v>
      </c>
      <c r="I10" s="2" t="s">
        <v>135</v>
      </c>
      <c r="J10" t="s">
        <v>338</v>
      </c>
      <c r="K10" t="s">
        <v>352</v>
      </c>
      <c r="L10" s="2" t="s">
        <v>146</v>
      </c>
      <c r="M10" s="2">
        <v>20</v>
      </c>
      <c r="N10" s="2">
        <v>60.25</v>
      </c>
      <c r="O10" s="2">
        <v>60</v>
      </c>
      <c r="P10" s="2">
        <v>3</v>
      </c>
      <c r="Q10" s="2">
        <v>2</v>
      </c>
      <c r="R10" s="2">
        <v>249</v>
      </c>
      <c r="U10" s="15">
        <v>72237632</v>
      </c>
    </row>
    <row r="11" spans="1:28" ht="17">
      <c r="A11" t="s">
        <v>129</v>
      </c>
      <c r="B11" t="s">
        <v>40</v>
      </c>
      <c r="C11">
        <v>133336375</v>
      </c>
      <c r="D11" s="56">
        <v>133336495</v>
      </c>
      <c r="E11" s="55" t="s">
        <v>803</v>
      </c>
      <c r="F11">
        <v>4</v>
      </c>
      <c r="G11">
        <v>6</v>
      </c>
      <c r="H11" s="2" t="s">
        <v>143</v>
      </c>
      <c r="I11" s="2" t="s">
        <v>144</v>
      </c>
      <c r="J11" t="s">
        <v>339</v>
      </c>
      <c r="K11" t="s">
        <v>353</v>
      </c>
      <c r="L11" s="2" t="s">
        <v>147</v>
      </c>
      <c r="M11" s="2">
        <v>22</v>
      </c>
      <c r="N11" s="2">
        <v>60.16</v>
      </c>
      <c r="O11" s="2">
        <v>45.45</v>
      </c>
      <c r="P11" s="2">
        <v>2</v>
      </c>
      <c r="Q11" s="2">
        <v>0</v>
      </c>
      <c r="U11" s="15">
        <v>72237880</v>
      </c>
    </row>
    <row r="12" spans="1:28" ht="17">
      <c r="A12" s="25" t="s">
        <v>130</v>
      </c>
      <c r="B12" t="s">
        <v>44</v>
      </c>
      <c r="C12">
        <v>72237690</v>
      </c>
      <c r="D12" s="56">
        <v>72237810</v>
      </c>
      <c r="E12" s="61" t="s">
        <v>804</v>
      </c>
      <c r="F12">
        <v>4</v>
      </c>
      <c r="G12">
        <v>6</v>
      </c>
      <c r="H12" s="26" t="s">
        <v>146</v>
      </c>
      <c r="I12" s="26" t="s">
        <v>147</v>
      </c>
      <c r="J12" t="s">
        <v>340</v>
      </c>
      <c r="K12" t="s">
        <v>354</v>
      </c>
      <c r="L12" s="2" t="s">
        <v>348</v>
      </c>
      <c r="M12" s="2">
        <v>21</v>
      </c>
      <c r="N12" s="2">
        <v>60.47</v>
      </c>
      <c r="O12" s="2">
        <v>57.14</v>
      </c>
      <c r="P12" s="2">
        <v>4</v>
      </c>
      <c r="Q12" s="2">
        <v>0</v>
      </c>
      <c r="R12" s="2">
        <v>266</v>
      </c>
      <c r="U12" s="15">
        <v>4455346</v>
      </c>
    </row>
    <row r="13" spans="1:28" ht="17">
      <c r="A13" t="s">
        <v>131</v>
      </c>
      <c r="B13" t="s">
        <v>48</v>
      </c>
      <c r="C13">
        <v>31659347</v>
      </c>
      <c r="D13" s="56">
        <v>31659467</v>
      </c>
      <c r="E13" s="55" t="s">
        <v>801</v>
      </c>
      <c r="F13">
        <v>4</v>
      </c>
      <c r="G13">
        <v>6</v>
      </c>
      <c r="H13" s="2" t="s">
        <v>151</v>
      </c>
      <c r="I13" s="2" t="s">
        <v>156</v>
      </c>
      <c r="J13" t="s">
        <v>341</v>
      </c>
      <c r="K13" t="s">
        <v>355</v>
      </c>
      <c r="L13" s="2" t="s">
        <v>349</v>
      </c>
      <c r="M13" s="2">
        <v>21</v>
      </c>
      <c r="N13" s="2">
        <v>61.83</v>
      </c>
      <c r="O13" s="2">
        <v>57.14</v>
      </c>
      <c r="P13" s="2">
        <v>8</v>
      </c>
      <c r="Q13" s="2">
        <v>2</v>
      </c>
      <c r="U13" s="15">
        <v>4455611</v>
      </c>
    </row>
    <row r="14" spans="1:28" ht="17">
      <c r="A14" s="22" t="s">
        <v>132</v>
      </c>
      <c r="B14" t="s">
        <v>49</v>
      </c>
      <c r="C14">
        <v>6714933</v>
      </c>
      <c r="D14" s="56">
        <v>6715053</v>
      </c>
      <c r="E14" s="61" t="s">
        <v>805</v>
      </c>
      <c r="F14">
        <v>6</v>
      </c>
      <c r="G14">
        <v>4</v>
      </c>
      <c r="H14" s="2" t="s">
        <v>159</v>
      </c>
      <c r="I14" s="2" t="s">
        <v>160</v>
      </c>
      <c r="J14" t="s">
        <v>137</v>
      </c>
      <c r="K14" t="s">
        <v>145</v>
      </c>
      <c r="L14" s="2" t="s">
        <v>134</v>
      </c>
      <c r="M14" s="2">
        <v>22</v>
      </c>
      <c r="N14" s="2">
        <v>60.48</v>
      </c>
      <c r="O14" s="2">
        <v>54.55</v>
      </c>
      <c r="P14" s="2">
        <v>6</v>
      </c>
      <c r="Q14" s="2">
        <v>4</v>
      </c>
      <c r="R14" s="2">
        <v>176</v>
      </c>
      <c r="U14" s="56"/>
    </row>
    <row r="15" spans="1:28" ht="17">
      <c r="A15" t="s">
        <v>133</v>
      </c>
      <c r="B15" t="s">
        <v>43</v>
      </c>
      <c r="C15">
        <v>27338807</v>
      </c>
      <c r="D15" s="56">
        <v>27338927</v>
      </c>
      <c r="E15" s="55" t="s">
        <v>806</v>
      </c>
      <c r="F15">
        <v>4</v>
      </c>
      <c r="G15">
        <v>6</v>
      </c>
      <c r="H15" s="2" t="s">
        <v>168</v>
      </c>
      <c r="I15" s="2" t="s">
        <v>169</v>
      </c>
      <c r="J15" t="s">
        <v>138</v>
      </c>
      <c r="K15" t="s">
        <v>154</v>
      </c>
      <c r="L15" s="2" t="s">
        <v>135</v>
      </c>
      <c r="M15" s="2">
        <v>22</v>
      </c>
      <c r="N15" s="2">
        <v>60.09</v>
      </c>
      <c r="O15" s="2">
        <v>50</v>
      </c>
      <c r="P15" s="2">
        <v>4</v>
      </c>
      <c r="Q15" s="2">
        <v>4</v>
      </c>
      <c r="U15" s="56"/>
    </row>
    <row r="16" spans="1:28" ht="17">
      <c r="J16" t="s">
        <v>141</v>
      </c>
      <c r="K16" t="s">
        <v>150</v>
      </c>
      <c r="L16" s="2" t="s">
        <v>143</v>
      </c>
      <c r="M16" s="2">
        <v>20</v>
      </c>
      <c r="N16" s="2">
        <v>63.67</v>
      </c>
      <c r="O16" s="2">
        <v>65</v>
      </c>
      <c r="P16" s="2">
        <v>3</v>
      </c>
      <c r="Q16" s="2">
        <v>3</v>
      </c>
      <c r="R16" s="2">
        <v>206</v>
      </c>
    </row>
    <row r="17" spans="1:19" ht="17">
      <c r="J17" t="s">
        <v>142</v>
      </c>
      <c r="K17" t="s">
        <v>155</v>
      </c>
      <c r="L17" s="2" t="s">
        <v>144</v>
      </c>
      <c r="M17" s="2">
        <v>22</v>
      </c>
      <c r="N17" s="2">
        <v>63</v>
      </c>
      <c r="O17" s="2">
        <v>59.09</v>
      </c>
      <c r="P17" s="2">
        <v>5</v>
      </c>
      <c r="Q17" s="2">
        <v>3</v>
      </c>
    </row>
    <row r="18" spans="1:19" ht="17">
      <c r="B18" s="107"/>
      <c r="C18" s="106"/>
      <c r="D18" s="106"/>
      <c r="J18" t="s">
        <v>148</v>
      </c>
      <c r="K18" t="s">
        <v>157</v>
      </c>
      <c r="L18" s="2" t="s">
        <v>146</v>
      </c>
      <c r="M18" s="2">
        <v>20</v>
      </c>
      <c r="N18" s="2">
        <v>60.25</v>
      </c>
      <c r="O18" s="2">
        <v>60</v>
      </c>
      <c r="P18" s="2">
        <v>3</v>
      </c>
      <c r="Q18" s="2">
        <v>2</v>
      </c>
      <c r="R18" s="2">
        <v>249</v>
      </c>
    </row>
    <row r="19" spans="1:19" ht="17">
      <c r="J19" t="s">
        <v>149</v>
      </c>
      <c r="K19" t="s">
        <v>158</v>
      </c>
      <c r="L19" s="2" t="s">
        <v>147</v>
      </c>
      <c r="M19" s="2">
        <v>22</v>
      </c>
      <c r="N19" s="2">
        <v>60.16</v>
      </c>
      <c r="O19" s="2">
        <v>45.45</v>
      </c>
      <c r="P19" s="2">
        <v>2</v>
      </c>
      <c r="Q19" s="2">
        <v>0</v>
      </c>
    </row>
    <row r="20" spans="1:19" ht="17">
      <c r="J20" t="s">
        <v>152</v>
      </c>
      <c r="K20" t="s">
        <v>166</v>
      </c>
      <c r="L20" s="2" t="s">
        <v>151</v>
      </c>
      <c r="M20" s="2">
        <v>19</v>
      </c>
      <c r="N20" s="2">
        <v>61.46</v>
      </c>
      <c r="O20" s="2">
        <v>63.16</v>
      </c>
      <c r="P20" s="2">
        <v>4</v>
      </c>
      <c r="Q20" s="2">
        <v>2</v>
      </c>
      <c r="R20" s="2">
        <v>205</v>
      </c>
    </row>
    <row r="21" spans="1:19" ht="17">
      <c r="J21" t="s">
        <v>153</v>
      </c>
      <c r="K21" t="s">
        <v>164</v>
      </c>
      <c r="L21" s="2" t="s">
        <v>156</v>
      </c>
      <c r="M21" s="2">
        <v>24</v>
      </c>
      <c r="N21" s="2">
        <v>60.63</v>
      </c>
      <c r="O21" s="2">
        <v>45.83</v>
      </c>
      <c r="P21" s="2">
        <v>4</v>
      </c>
      <c r="Q21" s="2">
        <v>0</v>
      </c>
    </row>
    <row r="22" spans="1:19" ht="17">
      <c r="J22" t="s">
        <v>161</v>
      </c>
      <c r="K22" t="s">
        <v>165</v>
      </c>
      <c r="L22" s="2" t="s">
        <v>159</v>
      </c>
      <c r="M22" s="2">
        <v>24</v>
      </c>
      <c r="N22" s="2">
        <v>60.14</v>
      </c>
      <c r="O22" s="2">
        <v>50</v>
      </c>
      <c r="P22" s="2">
        <v>4</v>
      </c>
      <c r="Q22" s="2">
        <v>0</v>
      </c>
      <c r="R22" s="2">
        <v>165</v>
      </c>
    </row>
    <row r="23" spans="1:19" ht="17">
      <c r="J23" t="s">
        <v>162</v>
      </c>
      <c r="K23" t="s">
        <v>167</v>
      </c>
      <c r="L23" s="2" t="s">
        <v>160</v>
      </c>
      <c r="M23" s="2">
        <v>22</v>
      </c>
      <c r="N23" s="2">
        <v>59.16</v>
      </c>
      <c r="O23" s="2">
        <v>45.45</v>
      </c>
      <c r="P23" s="2">
        <v>2</v>
      </c>
      <c r="Q23" s="2">
        <v>1</v>
      </c>
    </row>
    <row r="24" spans="1:19" ht="17">
      <c r="J24" t="s">
        <v>171</v>
      </c>
      <c r="K24" t="s">
        <v>244</v>
      </c>
      <c r="L24" s="2" t="s">
        <v>168</v>
      </c>
      <c r="M24" s="2">
        <v>21</v>
      </c>
      <c r="N24" s="2">
        <v>61.47</v>
      </c>
      <c r="O24" s="2">
        <v>57.14</v>
      </c>
      <c r="P24" s="2">
        <v>8</v>
      </c>
      <c r="Q24" s="2">
        <v>0</v>
      </c>
      <c r="R24" s="2">
        <v>218</v>
      </c>
      <c r="S24" s="2">
        <v>2301</v>
      </c>
    </row>
    <row r="25" spans="1:19" ht="17">
      <c r="J25" t="s">
        <v>163</v>
      </c>
      <c r="K25" t="s">
        <v>1184</v>
      </c>
      <c r="L25" s="2" t="s">
        <v>169</v>
      </c>
      <c r="M25" s="2">
        <v>23</v>
      </c>
      <c r="N25" s="2">
        <v>60.93</v>
      </c>
      <c r="O25" s="2">
        <v>52.17</v>
      </c>
      <c r="P25" s="2">
        <v>4</v>
      </c>
      <c r="Q25" s="2">
        <v>1</v>
      </c>
    </row>
    <row r="28" spans="1:19" ht="17">
      <c r="A28">
        <v>1</v>
      </c>
      <c r="B28" s="18" t="s">
        <v>57</v>
      </c>
      <c r="C28" s="18">
        <v>91099875</v>
      </c>
      <c r="D28" s="18">
        <v>91099900</v>
      </c>
      <c r="E28" t="s">
        <v>1038</v>
      </c>
      <c r="F28">
        <v>4</v>
      </c>
      <c r="G28">
        <v>6</v>
      </c>
      <c r="H28" s="2" t="s">
        <v>995</v>
      </c>
      <c r="I28" s="2" t="s">
        <v>994</v>
      </c>
      <c r="J28" t="s">
        <v>1030</v>
      </c>
      <c r="K28" t="s">
        <v>1185</v>
      </c>
      <c r="L28" s="2" t="s">
        <v>995</v>
      </c>
      <c r="M28" s="2">
        <v>22</v>
      </c>
      <c r="N28" s="2">
        <v>59.96</v>
      </c>
      <c r="O28" s="2">
        <v>50</v>
      </c>
      <c r="P28" s="2">
        <v>7</v>
      </c>
      <c r="Q28" s="2">
        <v>0</v>
      </c>
      <c r="R28" s="2">
        <v>234</v>
      </c>
    </row>
    <row r="29" spans="1:19" ht="17">
      <c r="A29">
        <v>2</v>
      </c>
      <c r="B29" t="s">
        <v>54</v>
      </c>
      <c r="C29">
        <v>148697798</v>
      </c>
      <c r="D29">
        <v>148697819</v>
      </c>
      <c r="E29" t="s">
        <v>1039</v>
      </c>
      <c r="F29">
        <v>4</v>
      </c>
      <c r="G29">
        <v>6</v>
      </c>
      <c r="H29" s="2" t="s">
        <v>996</v>
      </c>
      <c r="I29" s="2" t="s">
        <v>997</v>
      </c>
      <c r="J29" t="s">
        <v>1031</v>
      </c>
      <c r="K29" t="s">
        <v>1186</v>
      </c>
      <c r="L29" s="2" t="s">
        <v>994</v>
      </c>
      <c r="M29" s="2">
        <v>21</v>
      </c>
      <c r="N29" s="2">
        <v>60.34</v>
      </c>
      <c r="O29" s="2">
        <v>52.38</v>
      </c>
      <c r="P29" s="2">
        <v>6</v>
      </c>
      <c r="Q29" s="2">
        <v>4</v>
      </c>
    </row>
    <row r="30" spans="1:19" ht="17">
      <c r="A30">
        <v>3</v>
      </c>
      <c r="B30" t="s">
        <v>44</v>
      </c>
      <c r="C30">
        <v>66371419</v>
      </c>
      <c r="D30">
        <v>66371431</v>
      </c>
      <c r="E30" t="s">
        <v>1040</v>
      </c>
      <c r="F30">
        <v>4</v>
      </c>
      <c r="G30">
        <v>6</v>
      </c>
      <c r="H30" s="2" t="s">
        <v>998</v>
      </c>
      <c r="I30" s="2" t="s">
        <v>999</v>
      </c>
      <c r="J30" t="s">
        <v>1032</v>
      </c>
      <c r="K30" t="s">
        <v>1187</v>
      </c>
      <c r="L30" s="2" t="s">
        <v>996</v>
      </c>
      <c r="M30" s="2">
        <v>21</v>
      </c>
      <c r="N30" s="2">
        <v>60.41</v>
      </c>
      <c r="O30" s="2">
        <v>52.38</v>
      </c>
      <c r="P30" s="2">
        <v>3</v>
      </c>
      <c r="Q30" s="2">
        <v>1</v>
      </c>
      <c r="R30" s="2">
        <v>162</v>
      </c>
    </row>
    <row r="31" spans="1:19" ht="17">
      <c r="A31">
        <v>4</v>
      </c>
      <c r="B31" t="s">
        <v>57</v>
      </c>
      <c r="C31">
        <v>68819911</v>
      </c>
      <c r="D31">
        <v>68819916</v>
      </c>
      <c r="E31" t="s">
        <v>1041</v>
      </c>
      <c r="F31">
        <v>4</v>
      </c>
      <c r="G31">
        <v>6</v>
      </c>
      <c r="H31" s="2" t="s">
        <v>1000</v>
      </c>
      <c r="I31" s="2" t="s">
        <v>1001</v>
      </c>
      <c r="J31" t="s">
        <v>1033</v>
      </c>
      <c r="K31" t="s">
        <v>1188</v>
      </c>
      <c r="L31" s="2" t="s">
        <v>997</v>
      </c>
      <c r="M31" s="2">
        <v>23</v>
      </c>
      <c r="N31" s="2">
        <v>58.69</v>
      </c>
      <c r="O31" s="2">
        <v>47.83</v>
      </c>
      <c r="P31" s="2">
        <v>4</v>
      </c>
      <c r="Q31" s="2">
        <v>0</v>
      </c>
    </row>
    <row r="32" spans="1:19" ht="17">
      <c r="A32">
        <v>5</v>
      </c>
      <c r="B32" t="s">
        <v>55</v>
      </c>
      <c r="C32">
        <v>23435743</v>
      </c>
      <c r="D32">
        <v>23435773</v>
      </c>
      <c r="E32" s="18" t="s">
        <v>1026</v>
      </c>
      <c r="F32" s="57">
        <v>6</v>
      </c>
      <c r="G32">
        <v>4</v>
      </c>
      <c r="H32" s="2" t="s">
        <v>1002</v>
      </c>
      <c r="I32" s="2" t="s">
        <v>1003</v>
      </c>
      <c r="J32" t="s">
        <v>1034</v>
      </c>
      <c r="K32" t="s">
        <v>1189</v>
      </c>
      <c r="L32" s="2" t="s">
        <v>998</v>
      </c>
      <c r="M32" s="2">
        <v>19</v>
      </c>
      <c r="N32" s="2">
        <v>59.86</v>
      </c>
      <c r="O32" s="2">
        <v>63.16</v>
      </c>
      <c r="P32" s="2">
        <v>4</v>
      </c>
      <c r="Q32" s="2">
        <v>0</v>
      </c>
      <c r="R32" s="2">
        <v>171</v>
      </c>
    </row>
    <row r="33" spans="1:20" ht="17">
      <c r="A33">
        <v>6</v>
      </c>
      <c r="B33" t="s">
        <v>56</v>
      </c>
      <c r="C33">
        <v>110199810</v>
      </c>
      <c r="D33">
        <v>110199831</v>
      </c>
      <c r="E33" s="18" t="s">
        <v>1027</v>
      </c>
      <c r="F33">
        <v>6</v>
      </c>
      <c r="G33">
        <v>4</v>
      </c>
      <c r="H33" s="2" t="s">
        <v>1006</v>
      </c>
      <c r="I33" s="2" t="s">
        <v>1007</v>
      </c>
      <c r="J33" t="s">
        <v>1035</v>
      </c>
      <c r="K33" t="s">
        <v>1190</v>
      </c>
      <c r="L33" s="2" t="s">
        <v>999</v>
      </c>
      <c r="M33" s="2">
        <v>22</v>
      </c>
      <c r="N33" s="2">
        <v>60.22</v>
      </c>
      <c r="O33" s="2">
        <v>54.55</v>
      </c>
      <c r="P33" s="2">
        <v>5</v>
      </c>
      <c r="Q33" s="2">
        <v>4</v>
      </c>
    </row>
    <row r="34" spans="1:20" ht="17">
      <c r="A34">
        <v>7</v>
      </c>
      <c r="B34" t="s">
        <v>46</v>
      </c>
      <c r="C34">
        <v>131106788</v>
      </c>
      <c r="D34">
        <v>131106820</v>
      </c>
      <c r="E34" s="18" t="s">
        <v>1028</v>
      </c>
      <c r="F34">
        <v>4</v>
      </c>
      <c r="G34">
        <v>6</v>
      </c>
      <c r="H34" s="2" t="s">
        <v>1004</v>
      </c>
      <c r="I34" s="2" t="s">
        <v>1005</v>
      </c>
      <c r="J34" t="s">
        <v>1036</v>
      </c>
      <c r="K34" t="s">
        <v>1191</v>
      </c>
      <c r="L34" s="2" t="s">
        <v>1000</v>
      </c>
      <c r="M34" s="2">
        <v>22</v>
      </c>
      <c r="N34" s="2">
        <v>55.04</v>
      </c>
      <c r="O34" s="2">
        <v>40.909999999999997</v>
      </c>
      <c r="P34" s="2">
        <v>5</v>
      </c>
      <c r="Q34" s="2">
        <v>1</v>
      </c>
      <c r="R34" s="2">
        <v>170</v>
      </c>
    </row>
    <row r="35" spans="1:20" ht="17">
      <c r="A35">
        <v>8</v>
      </c>
      <c r="B35" t="s">
        <v>855</v>
      </c>
      <c r="C35">
        <v>57434102</v>
      </c>
      <c r="D35">
        <v>57434126</v>
      </c>
      <c r="E35" s="18" t="s">
        <v>1029</v>
      </c>
      <c r="F35">
        <v>4</v>
      </c>
      <c r="G35">
        <v>6</v>
      </c>
      <c r="H35" s="2" t="s">
        <v>1008</v>
      </c>
      <c r="I35" s="2" t="s">
        <v>1009</v>
      </c>
      <c r="J35" t="s">
        <v>1037</v>
      </c>
      <c r="K35" t="s">
        <v>1192</v>
      </c>
      <c r="L35" s="2" t="s">
        <v>1001</v>
      </c>
      <c r="M35" s="2">
        <v>24</v>
      </c>
      <c r="N35" s="2">
        <v>55.84</v>
      </c>
      <c r="O35" s="2">
        <v>37.5</v>
      </c>
      <c r="P35" s="2">
        <v>4</v>
      </c>
      <c r="Q35" s="2">
        <v>0</v>
      </c>
    </row>
    <row r="36" spans="1:20" ht="17">
      <c r="A36">
        <v>9</v>
      </c>
      <c r="B36" t="s">
        <v>53</v>
      </c>
      <c r="C36">
        <v>64089691</v>
      </c>
      <c r="D36">
        <v>64089728</v>
      </c>
      <c r="E36" t="s">
        <v>1128</v>
      </c>
      <c r="F36">
        <v>4</v>
      </c>
      <c r="G36">
        <v>6</v>
      </c>
      <c r="H36" s="2" t="s">
        <v>1010</v>
      </c>
      <c r="I36" s="2" t="s">
        <v>1011</v>
      </c>
      <c r="J36" t="s">
        <v>1235</v>
      </c>
      <c r="K36" t="s">
        <v>1193</v>
      </c>
      <c r="L36" s="2" t="s">
        <v>1002</v>
      </c>
      <c r="M36" s="2">
        <v>24</v>
      </c>
      <c r="N36" s="2">
        <v>62.13</v>
      </c>
      <c r="O36" s="2">
        <v>50</v>
      </c>
      <c r="P36" s="2">
        <v>5</v>
      </c>
      <c r="Q36" s="2">
        <v>3</v>
      </c>
      <c r="R36" s="2">
        <v>240</v>
      </c>
    </row>
    <row r="37" spans="1:20" ht="17">
      <c r="A37">
        <v>10</v>
      </c>
      <c r="B37" t="s">
        <v>44</v>
      </c>
      <c r="C37">
        <v>133907525</v>
      </c>
      <c r="D37">
        <v>133907564</v>
      </c>
      <c r="E37" t="s">
        <v>1129</v>
      </c>
      <c r="F37">
        <v>4</v>
      </c>
      <c r="G37">
        <v>6</v>
      </c>
      <c r="H37" s="2" t="s">
        <v>1012</v>
      </c>
      <c r="I37" s="2" t="s">
        <v>1013</v>
      </c>
      <c r="J37" t="s">
        <v>1236</v>
      </c>
      <c r="K37" t="s">
        <v>1194</v>
      </c>
      <c r="L37" s="2" t="s">
        <v>1003</v>
      </c>
      <c r="M37" s="2">
        <v>22</v>
      </c>
      <c r="N37" s="2">
        <v>61.72</v>
      </c>
      <c r="O37" s="2">
        <v>54.55</v>
      </c>
      <c r="P37" s="2">
        <v>3</v>
      </c>
      <c r="Q37" s="2">
        <v>2</v>
      </c>
    </row>
    <row r="38" spans="1:20" ht="17">
      <c r="A38">
        <v>11</v>
      </c>
      <c r="B38" t="s">
        <v>58</v>
      </c>
      <c r="C38">
        <v>50446357</v>
      </c>
      <c r="D38">
        <v>50446374</v>
      </c>
      <c r="E38" s="18" t="s">
        <v>1130</v>
      </c>
      <c r="F38" s="57">
        <v>4</v>
      </c>
      <c r="G38">
        <v>6</v>
      </c>
      <c r="H38" s="2" t="s">
        <v>1014</v>
      </c>
      <c r="I38" s="2" t="s">
        <v>1015</v>
      </c>
      <c r="J38" t="s">
        <v>1237</v>
      </c>
      <c r="K38" t="s">
        <v>1195</v>
      </c>
      <c r="L38" s="2" t="s">
        <v>1006</v>
      </c>
      <c r="M38" s="2">
        <v>24</v>
      </c>
      <c r="N38" s="2">
        <v>57.8</v>
      </c>
      <c r="O38" s="2">
        <v>37.5</v>
      </c>
      <c r="P38" s="2">
        <v>7</v>
      </c>
      <c r="Q38" s="2">
        <v>0</v>
      </c>
      <c r="R38" s="2">
        <v>150</v>
      </c>
    </row>
    <row r="39" spans="1:20" ht="17">
      <c r="A39">
        <v>12</v>
      </c>
      <c r="B39" t="s">
        <v>50</v>
      </c>
      <c r="C39">
        <v>38535984</v>
      </c>
      <c r="D39">
        <v>38536007</v>
      </c>
      <c r="E39" s="18" t="s">
        <v>1131</v>
      </c>
      <c r="F39">
        <v>4</v>
      </c>
      <c r="G39">
        <v>6</v>
      </c>
      <c r="H39" s="2" t="s">
        <v>1016</v>
      </c>
      <c r="I39" s="2" t="s">
        <v>1017</v>
      </c>
      <c r="J39" t="s">
        <v>1238</v>
      </c>
      <c r="K39" t="s">
        <v>1196</v>
      </c>
      <c r="L39" s="2" t="s">
        <v>1007</v>
      </c>
      <c r="M39" s="2">
        <v>22</v>
      </c>
      <c r="N39" s="2">
        <v>59.26</v>
      </c>
      <c r="O39" s="2">
        <v>54.55</v>
      </c>
      <c r="P39" s="2">
        <v>5</v>
      </c>
      <c r="Q39" s="2">
        <v>2</v>
      </c>
    </row>
    <row r="40" spans="1:20" ht="17">
      <c r="A40">
        <v>13</v>
      </c>
      <c r="B40" t="s">
        <v>54</v>
      </c>
      <c r="C40">
        <v>31417166</v>
      </c>
      <c r="D40">
        <v>31417179</v>
      </c>
      <c r="E40" s="18" t="s">
        <v>1132</v>
      </c>
      <c r="F40">
        <v>6</v>
      </c>
      <c r="G40">
        <v>4</v>
      </c>
      <c r="H40" s="2" t="s">
        <v>1018</v>
      </c>
      <c r="I40" s="2" t="s">
        <v>1019</v>
      </c>
      <c r="J40" t="s">
        <v>1239</v>
      </c>
      <c r="K40" t="s">
        <v>1197</v>
      </c>
      <c r="L40" s="2" t="s">
        <v>1004</v>
      </c>
      <c r="M40" s="2">
        <v>22</v>
      </c>
      <c r="N40" s="2">
        <v>60.03</v>
      </c>
      <c r="O40" s="2">
        <v>50</v>
      </c>
      <c r="P40" s="2">
        <v>4</v>
      </c>
      <c r="Q40" s="2">
        <v>0</v>
      </c>
      <c r="R40" s="2">
        <v>166</v>
      </c>
      <c r="S40" s="2">
        <v>2046</v>
      </c>
    </row>
    <row r="41" spans="1:20" ht="17">
      <c r="A41">
        <v>14</v>
      </c>
      <c r="B41" t="s">
        <v>44</v>
      </c>
      <c r="C41">
        <v>76784742</v>
      </c>
      <c r="D41">
        <v>76784758</v>
      </c>
      <c r="E41" s="18" t="s">
        <v>1133</v>
      </c>
      <c r="F41">
        <v>6</v>
      </c>
      <c r="G41">
        <v>4</v>
      </c>
      <c r="H41" s="2" t="s">
        <v>1020</v>
      </c>
      <c r="I41" s="2" t="s">
        <v>1021</v>
      </c>
      <c r="J41" t="s">
        <v>1240</v>
      </c>
      <c r="K41" t="s">
        <v>1198</v>
      </c>
      <c r="L41" s="2" t="s">
        <v>1005</v>
      </c>
      <c r="M41" s="2">
        <v>21</v>
      </c>
      <c r="N41" s="2">
        <v>60.13</v>
      </c>
      <c r="O41" s="2">
        <v>57.14</v>
      </c>
      <c r="P41" s="2">
        <v>3</v>
      </c>
      <c r="Q41" s="2">
        <v>1</v>
      </c>
    </row>
    <row r="42" spans="1:20" ht="17">
      <c r="A42">
        <v>15</v>
      </c>
      <c r="B42" t="s">
        <v>908</v>
      </c>
      <c r="C42">
        <v>46154203</v>
      </c>
      <c r="D42">
        <v>46154222</v>
      </c>
      <c r="E42" t="s">
        <v>1051</v>
      </c>
      <c r="F42">
        <v>4</v>
      </c>
      <c r="G42">
        <v>6</v>
      </c>
      <c r="H42" s="2" t="s">
        <v>1022</v>
      </c>
      <c r="I42" s="2" t="s">
        <v>1023</v>
      </c>
      <c r="J42" t="s">
        <v>1241</v>
      </c>
      <c r="K42" t="s">
        <v>1199</v>
      </c>
      <c r="L42" s="2" t="s">
        <v>1008</v>
      </c>
      <c r="M42" s="2">
        <v>22</v>
      </c>
      <c r="N42" s="2">
        <v>59.96</v>
      </c>
      <c r="O42" s="2">
        <v>45.45</v>
      </c>
      <c r="P42" s="2">
        <v>4</v>
      </c>
      <c r="Q42" s="2">
        <v>0</v>
      </c>
      <c r="R42" s="2">
        <v>222</v>
      </c>
    </row>
    <row r="43" spans="1:20" ht="17">
      <c r="A43">
        <v>16</v>
      </c>
      <c r="B43" t="s">
        <v>54</v>
      </c>
      <c r="C43">
        <v>22466320</v>
      </c>
      <c r="D43">
        <v>22466337</v>
      </c>
      <c r="E43" t="s">
        <v>1043</v>
      </c>
      <c r="F43">
        <v>6</v>
      </c>
      <c r="G43">
        <v>4</v>
      </c>
      <c r="H43" s="2" t="s">
        <v>1024</v>
      </c>
      <c r="I43" s="2" t="s">
        <v>1025</v>
      </c>
      <c r="J43" t="s">
        <v>1242</v>
      </c>
      <c r="K43" t="s">
        <v>1200</v>
      </c>
      <c r="L43" s="2" t="s">
        <v>1009</v>
      </c>
      <c r="M43" s="2">
        <v>22</v>
      </c>
      <c r="N43" s="2">
        <v>60.03</v>
      </c>
      <c r="O43" s="2">
        <v>45.45</v>
      </c>
      <c r="P43" s="2">
        <v>6</v>
      </c>
      <c r="Q43" s="2">
        <v>4</v>
      </c>
    </row>
    <row r="44" spans="1:20" ht="17">
      <c r="A44">
        <v>17</v>
      </c>
      <c r="B44" s="32" t="s">
        <v>49</v>
      </c>
      <c r="C44">
        <v>139697197</v>
      </c>
      <c r="D44" s="32">
        <v>139697211</v>
      </c>
      <c r="E44" t="s">
        <v>1052</v>
      </c>
      <c r="F44">
        <v>4</v>
      </c>
      <c r="G44">
        <v>6</v>
      </c>
      <c r="H44" s="2" t="s">
        <v>1117</v>
      </c>
      <c r="I44" s="2" t="s">
        <v>1118</v>
      </c>
      <c r="J44" t="s">
        <v>1223</v>
      </c>
      <c r="K44" t="s">
        <v>1201</v>
      </c>
      <c r="L44" s="2" t="s">
        <v>1010</v>
      </c>
      <c r="M44" s="2">
        <v>21</v>
      </c>
      <c r="N44" s="2">
        <v>60.95</v>
      </c>
      <c r="O44" s="2">
        <v>52.38</v>
      </c>
      <c r="P44" s="2">
        <v>3</v>
      </c>
      <c r="Q44" s="2">
        <v>1</v>
      </c>
      <c r="R44" s="2">
        <v>167</v>
      </c>
    </row>
    <row r="45" spans="1:20" ht="17">
      <c r="A45">
        <v>18</v>
      </c>
      <c r="B45" s="32" t="s">
        <v>56</v>
      </c>
      <c r="C45" s="32">
        <v>31795049</v>
      </c>
      <c r="D45" s="32">
        <v>31795067</v>
      </c>
      <c r="E45" t="s">
        <v>1053</v>
      </c>
      <c r="F45">
        <v>4</v>
      </c>
      <c r="G45">
        <v>6</v>
      </c>
      <c r="H45" s="2" t="s">
        <v>1125</v>
      </c>
      <c r="I45" s="2" t="s">
        <v>1124</v>
      </c>
      <c r="J45" t="s">
        <v>1224</v>
      </c>
      <c r="K45" t="s">
        <v>1202</v>
      </c>
      <c r="L45" s="2" t="s">
        <v>1011</v>
      </c>
      <c r="M45" s="2">
        <v>24</v>
      </c>
      <c r="N45" s="2">
        <v>61.28</v>
      </c>
      <c r="O45" s="2">
        <v>50</v>
      </c>
      <c r="P45" s="2">
        <v>6</v>
      </c>
      <c r="Q45" s="2">
        <v>2</v>
      </c>
    </row>
    <row r="46" spans="1:20" ht="17">
      <c r="A46">
        <v>19</v>
      </c>
      <c r="B46" t="s">
        <v>46</v>
      </c>
      <c r="C46">
        <v>5620020</v>
      </c>
      <c r="D46">
        <v>5620043</v>
      </c>
      <c r="E46" t="s">
        <v>1062</v>
      </c>
      <c r="F46">
        <v>4</v>
      </c>
      <c r="G46">
        <v>6</v>
      </c>
      <c r="H46" s="2" t="s">
        <v>1060</v>
      </c>
      <c r="I46" s="2" t="s">
        <v>1061</v>
      </c>
      <c r="J46" t="s">
        <v>1225</v>
      </c>
      <c r="K46" t="s">
        <v>1203</v>
      </c>
      <c r="L46" s="2" t="s">
        <v>1012</v>
      </c>
      <c r="M46" s="2">
        <v>20</v>
      </c>
      <c r="N46" s="2">
        <v>60.83</v>
      </c>
      <c r="O46" s="2">
        <v>60</v>
      </c>
      <c r="P46" s="2">
        <v>1</v>
      </c>
      <c r="Q46" s="2">
        <v>1</v>
      </c>
      <c r="R46" s="2">
        <v>231</v>
      </c>
      <c r="S46" s="2">
        <v>1126</v>
      </c>
      <c r="T46" s="2">
        <v>1337</v>
      </c>
    </row>
    <row r="47" spans="1:20" ht="17">
      <c r="A47">
        <v>20</v>
      </c>
      <c r="B47" t="s">
        <v>48</v>
      </c>
      <c r="C47">
        <v>95073657</v>
      </c>
      <c r="D47">
        <v>95073669</v>
      </c>
      <c r="E47" t="s">
        <v>1063</v>
      </c>
      <c r="F47">
        <v>4</v>
      </c>
      <c r="G47">
        <v>6</v>
      </c>
      <c r="H47" s="2" t="s">
        <v>1067</v>
      </c>
      <c r="I47" s="2" t="s">
        <v>1068</v>
      </c>
      <c r="J47" t="s">
        <v>1226</v>
      </c>
      <c r="K47" t="s">
        <v>1204</v>
      </c>
      <c r="L47" s="2" t="s">
        <v>1013</v>
      </c>
      <c r="M47" s="2">
        <v>23</v>
      </c>
      <c r="N47" s="2">
        <v>60.92</v>
      </c>
      <c r="O47" s="2">
        <v>47.83</v>
      </c>
      <c r="P47" s="2">
        <v>4</v>
      </c>
      <c r="Q47" s="2">
        <v>4</v>
      </c>
    </row>
    <row r="48" spans="1:20" ht="17">
      <c r="A48">
        <v>21</v>
      </c>
      <c r="B48" s="32" t="s">
        <v>55</v>
      </c>
      <c r="C48" s="32">
        <v>1033043</v>
      </c>
      <c r="D48" s="32">
        <v>1033058</v>
      </c>
      <c r="E48" t="s">
        <v>1064</v>
      </c>
      <c r="F48" s="32">
        <v>4</v>
      </c>
      <c r="G48" s="32">
        <v>6</v>
      </c>
      <c r="H48" s="2" t="s">
        <v>1114</v>
      </c>
      <c r="I48" s="2" t="s">
        <v>1115</v>
      </c>
      <c r="J48" t="s">
        <v>1227</v>
      </c>
      <c r="K48" t="s">
        <v>1205</v>
      </c>
      <c r="L48" s="2" t="s">
        <v>1014</v>
      </c>
      <c r="M48" s="2">
        <v>22</v>
      </c>
      <c r="N48" s="2">
        <v>60.09</v>
      </c>
      <c r="O48" s="2">
        <v>54.55</v>
      </c>
      <c r="P48" s="2">
        <v>5</v>
      </c>
      <c r="Q48" s="2">
        <v>3</v>
      </c>
      <c r="R48" s="2">
        <v>242</v>
      </c>
    </row>
    <row r="49" spans="1:20" ht="17">
      <c r="A49">
        <v>22</v>
      </c>
      <c r="B49" t="s">
        <v>964</v>
      </c>
      <c r="C49">
        <v>15438187</v>
      </c>
      <c r="D49">
        <v>15438203</v>
      </c>
      <c r="E49" t="s">
        <v>1065</v>
      </c>
      <c r="F49">
        <v>4</v>
      </c>
      <c r="G49">
        <v>6</v>
      </c>
      <c r="H49" s="2" t="s">
        <v>1070</v>
      </c>
      <c r="I49" s="2" t="s">
        <v>1071</v>
      </c>
      <c r="J49" t="s">
        <v>1228</v>
      </c>
      <c r="K49" t="s">
        <v>1206</v>
      </c>
      <c r="L49" s="2" t="s">
        <v>1015</v>
      </c>
      <c r="M49" s="2">
        <v>22</v>
      </c>
      <c r="N49" s="2">
        <v>60.75</v>
      </c>
      <c r="O49" s="2">
        <v>50</v>
      </c>
      <c r="P49" s="2">
        <v>4</v>
      </c>
      <c r="Q49" s="2">
        <v>4</v>
      </c>
    </row>
    <row r="50" spans="1:20" ht="17">
      <c r="A50">
        <v>23</v>
      </c>
      <c r="B50" t="s">
        <v>56</v>
      </c>
      <c r="C50">
        <v>28251609</v>
      </c>
      <c r="D50">
        <v>28251636</v>
      </c>
      <c r="E50" t="s">
        <v>1066</v>
      </c>
      <c r="F50">
        <v>4</v>
      </c>
      <c r="G50">
        <v>6</v>
      </c>
      <c r="H50" s="2" t="s">
        <v>1072</v>
      </c>
      <c r="I50" s="2" t="s">
        <v>1073</v>
      </c>
      <c r="J50" t="s">
        <v>1229</v>
      </c>
      <c r="K50" t="s">
        <v>1207</v>
      </c>
      <c r="L50" s="2" t="s">
        <v>1016</v>
      </c>
      <c r="M50" s="2">
        <v>22</v>
      </c>
      <c r="N50" s="2">
        <v>61.23</v>
      </c>
      <c r="O50" s="2">
        <v>54.55</v>
      </c>
      <c r="P50" s="2">
        <v>2</v>
      </c>
      <c r="Q50" s="2">
        <v>2</v>
      </c>
      <c r="R50" s="2">
        <v>194</v>
      </c>
      <c r="S50" s="2">
        <v>2736</v>
      </c>
    </row>
    <row r="51" spans="1:20" ht="17">
      <c r="A51">
        <v>24</v>
      </c>
      <c r="B51" t="s">
        <v>53</v>
      </c>
      <c r="C51">
        <v>79272594</v>
      </c>
      <c r="D51">
        <v>79272605</v>
      </c>
      <c r="E51" t="s">
        <v>1111</v>
      </c>
      <c r="F51">
        <v>4</v>
      </c>
      <c r="G51">
        <v>6</v>
      </c>
      <c r="H51" s="2" t="s">
        <v>1074</v>
      </c>
      <c r="I51" s="2" t="s">
        <v>1075</v>
      </c>
      <c r="J51" t="s">
        <v>1230</v>
      </c>
      <c r="K51" t="s">
        <v>1208</v>
      </c>
      <c r="L51" s="2" t="s">
        <v>1017</v>
      </c>
      <c r="M51" s="2">
        <v>22</v>
      </c>
      <c r="N51" s="2">
        <v>62.27</v>
      </c>
      <c r="O51" s="2">
        <v>54.55</v>
      </c>
      <c r="P51" s="2">
        <v>3</v>
      </c>
      <c r="Q51" s="2">
        <v>3</v>
      </c>
    </row>
    <row r="52" spans="1:20" ht="17">
      <c r="A52">
        <v>25</v>
      </c>
      <c r="B52" t="s">
        <v>55</v>
      </c>
      <c r="C52">
        <v>47726203</v>
      </c>
      <c r="D52">
        <v>47726227</v>
      </c>
      <c r="E52" t="s">
        <v>1116</v>
      </c>
      <c r="F52">
        <v>4</v>
      </c>
      <c r="G52">
        <v>6</v>
      </c>
      <c r="H52" s="2" t="s">
        <v>1081</v>
      </c>
      <c r="I52" s="2" t="s">
        <v>1080</v>
      </c>
      <c r="J52" t="s">
        <v>1231</v>
      </c>
      <c r="K52" t="s">
        <v>1209</v>
      </c>
      <c r="L52" s="2" t="s">
        <v>1018</v>
      </c>
      <c r="M52" s="2">
        <v>24</v>
      </c>
      <c r="N52" s="2">
        <v>59.24</v>
      </c>
      <c r="O52" s="2">
        <v>41.67</v>
      </c>
      <c r="P52" s="2">
        <v>4</v>
      </c>
      <c r="Q52" s="2">
        <v>4</v>
      </c>
      <c r="R52" s="2">
        <v>151</v>
      </c>
    </row>
    <row r="53" spans="1:20" ht="17">
      <c r="A53">
        <v>26</v>
      </c>
      <c r="B53" t="s">
        <v>41</v>
      </c>
      <c r="C53">
        <v>96817559</v>
      </c>
      <c r="D53">
        <v>96817565</v>
      </c>
      <c r="E53" t="s">
        <v>1119</v>
      </c>
      <c r="F53">
        <v>4</v>
      </c>
      <c r="G53">
        <v>6</v>
      </c>
      <c r="H53" s="2" t="s">
        <v>1082</v>
      </c>
      <c r="I53" s="2" t="s">
        <v>1083</v>
      </c>
      <c r="J53" t="s">
        <v>1232</v>
      </c>
      <c r="K53" t="s">
        <v>1210</v>
      </c>
      <c r="L53" s="2" t="s">
        <v>1019</v>
      </c>
      <c r="M53" s="2">
        <v>22</v>
      </c>
      <c r="N53" s="2">
        <v>59.71</v>
      </c>
      <c r="O53" s="2">
        <v>45.45</v>
      </c>
      <c r="P53" s="2">
        <v>5</v>
      </c>
      <c r="Q53" s="2">
        <v>3</v>
      </c>
    </row>
    <row r="54" spans="1:20" ht="17">
      <c r="A54">
        <v>27</v>
      </c>
      <c r="B54" t="s">
        <v>43</v>
      </c>
      <c r="C54">
        <v>94648646</v>
      </c>
      <c r="D54">
        <v>94648659</v>
      </c>
      <c r="E54" t="s">
        <v>1134</v>
      </c>
      <c r="F54">
        <v>4</v>
      </c>
      <c r="G54">
        <v>6</v>
      </c>
      <c r="H54" s="2" t="s">
        <v>1135</v>
      </c>
      <c r="I54" s="2" t="s">
        <v>1136</v>
      </c>
      <c r="J54" t="s">
        <v>1233</v>
      </c>
      <c r="K54" t="s">
        <v>1211</v>
      </c>
      <c r="L54" s="2" t="s">
        <v>1020</v>
      </c>
      <c r="M54" s="2">
        <v>24</v>
      </c>
      <c r="N54" s="2">
        <v>58.07</v>
      </c>
      <c r="O54" s="2">
        <v>37.5</v>
      </c>
      <c r="P54" s="2">
        <v>4</v>
      </c>
      <c r="Q54" s="2">
        <v>2</v>
      </c>
      <c r="R54" s="2">
        <v>161</v>
      </c>
    </row>
    <row r="55" spans="1:20" ht="17">
      <c r="A55">
        <v>28</v>
      </c>
      <c r="B55" t="s">
        <v>47</v>
      </c>
      <c r="C55">
        <v>110087653</v>
      </c>
      <c r="D55">
        <v>110087669</v>
      </c>
      <c r="E55" t="s">
        <v>1144</v>
      </c>
      <c r="F55">
        <v>6</v>
      </c>
      <c r="G55">
        <v>4</v>
      </c>
      <c r="H55" s="2" t="s">
        <v>1155</v>
      </c>
      <c r="I55" s="2" t="s">
        <v>1156</v>
      </c>
      <c r="J55" t="s">
        <v>1234</v>
      </c>
      <c r="K55" t="s">
        <v>1212</v>
      </c>
      <c r="L55" s="2" t="s">
        <v>1021</v>
      </c>
      <c r="M55" s="2">
        <v>22</v>
      </c>
      <c r="N55" s="2">
        <v>59.5</v>
      </c>
      <c r="O55" s="2">
        <v>50</v>
      </c>
      <c r="P55" s="2">
        <v>3</v>
      </c>
      <c r="Q55" s="2">
        <v>2</v>
      </c>
    </row>
    <row r="56" spans="1:20" ht="16" customHeight="1">
      <c r="A56">
        <v>29</v>
      </c>
      <c r="B56" t="s">
        <v>58</v>
      </c>
      <c r="C56">
        <v>50267491</v>
      </c>
      <c r="D56">
        <v>50267506</v>
      </c>
      <c r="E56" t="s">
        <v>1145</v>
      </c>
      <c r="F56">
        <v>4</v>
      </c>
      <c r="G56">
        <v>6</v>
      </c>
      <c r="H56" s="2" t="s">
        <v>1169</v>
      </c>
      <c r="I56" s="2" t="s">
        <v>1170</v>
      </c>
      <c r="J56" t="s">
        <v>1045</v>
      </c>
      <c r="K56" t="s">
        <v>1213</v>
      </c>
      <c r="L56" s="2" t="s">
        <v>1022</v>
      </c>
      <c r="M56" s="2">
        <v>21</v>
      </c>
      <c r="N56" s="2">
        <v>60.4</v>
      </c>
      <c r="O56" s="2">
        <v>57.14</v>
      </c>
      <c r="P56" s="2">
        <v>5</v>
      </c>
      <c r="Q56" s="2">
        <v>1</v>
      </c>
      <c r="R56" s="2">
        <v>242</v>
      </c>
    </row>
    <row r="57" spans="1:20" ht="16" customHeight="1">
      <c r="A57">
        <v>30</v>
      </c>
      <c r="B57" t="s">
        <v>53</v>
      </c>
      <c r="C57">
        <v>17810730</v>
      </c>
      <c r="D57">
        <v>17810747</v>
      </c>
      <c r="E57" t="s">
        <v>1146</v>
      </c>
      <c r="F57">
        <v>4</v>
      </c>
      <c r="G57">
        <v>6</v>
      </c>
      <c r="H57" s="2" t="s">
        <v>1179</v>
      </c>
      <c r="I57" s="2" t="s">
        <v>1180</v>
      </c>
      <c r="J57" t="s">
        <v>1046</v>
      </c>
      <c r="K57" t="s">
        <v>1214</v>
      </c>
      <c r="L57" s="2" t="s">
        <v>1023</v>
      </c>
      <c r="M57" s="2">
        <v>19</v>
      </c>
      <c r="N57" s="2">
        <v>60.15</v>
      </c>
      <c r="O57" s="2">
        <v>63.16</v>
      </c>
      <c r="P57" s="2">
        <v>4</v>
      </c>
      <c r="Q57" s="2">
        <v>3</v>
      </c>
    </row>
    <row r="58" spans="1:20" ht="16" customHeight="1">
      <c r="J58" t="s">
        <v>1047</v>
      </c>
      <c r="K58" t="s">
        <v>1215</v>
      </c>
      <c r="L58" s="2" t="s">
        <v>1024</v>
      </c>
      <c r="M58" s="2">
        <v>23</v>
      </c>
      <c r="N58" s="2">
        <v>59.5</v>
      </c>
      <c r="O58" s="2">
        <v>43.48</v>
      </c>
      <c r="P58" s="2">
        <v>4</v>
      </c>
      <c r="Q58" s="2">
        <v>0</v>
      </c>
      <c r="R58" s="2">
        <v>227</v>
      </c>
      <c r="S58" s="2">
        <v>1844</v>
      </c>
    </row>
    <row r="59" spans="1:20" ht="16" customHeight="1">
      <c r="E59" s="18"/>
      <c r="J59" t="s">
        <v>1048</v>
      </c>
      <c r="K59" t="s">
        <v>1216</v>
      </c>
      <c r="L59" s="2" t="s">
        <v>1025</v>
      </c>
      <c r="M59" s="2">
        <v>21</v>
      </c>
      <c r="N59" s="2">
        <v>59.19</v>
      </c>
      <c r="O59" s="2">
        <v>52.38</v>
      </c>
      <c r="P59" s="2">
        <v>3</v>
      </c>
      <c r="Q59" s="2">
        <v>0</v>
      </c>
    </row>
    <row r="60" spans="1:20" ht="16" customHeight="1">
      <c r="E60" s="18"/>
      <c r="J60" t="s">
        <v>1049</v>
      </c>
      <c r="K60" t="s">
        <v>1217</v>
      </c>
      <c r="L60" s="2" t="s">
        <v>1117</v>
      </c>
      <c r="M60" s="2">
        <v>19</v>
      </c>
      <c r="N60" s="2">
        <v>60.37</v>
      </c>
      <c r="O60" s="2">
        <v>57.89</v>
      </c>
      <c r="P60" s="2">
        <v>4</v>
      </c>
      <c r="Q60" s="2">
        <v>0</v>
      </c>
      <c r="R60" s="63">
        <v>247</v>
      </c>
      <c r="S60" s="63">
        <v>1155</v>
      </c>
    </row>
    <row r="61" spans="1:20" ht="16" customHeight="1">
      <c r="D61" s="56"/>
      <c r="J61" t="s">
        <v>1050</v>
      </c>
      <c r="K61" t="s">
        <v>1218</v>
      </c>
      <c r="L61" s="2" t="s">
        <v>1118</v>
      </c>
      <c r="M61" s="2">
        <v>22</v>
      </c>
      <c r="N61" s="2">
        <v>61.19</v>
      </c>
      <c r="O61" s="2">
        <v>54.55</v>
      </c>
      <c r="P61" s="2">
        <v>3</v>
      </c>
      <c r="Q61" s="2">
        <v>3</v>
      </c>
    </row>
    <row r="62" spans="1:20" ht="16" customHeight="1">
      <c r="J62" t="s">
        <v>1054</v>
      </c>
      <c r="K62" t="s">
        <v>1219</v>
      </c>
      <c r="L62" s="2" t="s">
        <v>1125</v>
      </c>
      <c r="M62" s="2">
        <v>20</v>
      </c>
      <c r="N62" s="2">
        <v>62.42</v>
      </c>
      <c r="O62" s="2">
        <v>60</v>
      </c>
      <c r="P62" s="2">
        <v>3</v>
      </c>
      <c r="Q62" s="2">
        <v>3</v>
      </c>
      <c r="R62" s="63">
        <v>204</v>
      </c>
      <c r="S62" s="63">
        <v>2628</v>
      </c>
      <c r="T62" s="63">
        <v>3859</v>
      </c>
    </row>
    <row r="63" spans="1:20" ht="16" customHeight="1">
      <c r="J63" t="s">
        <v>1055</v>
      </c>
      <c r="K63" t="s">
        <v>1220</v>
      </c>
      <c r="L63" s="2" t="s">
        <v>1124</v>
      </c>
      <c r="M63" s="2">
        <v>19</v>
      </c>
      <c r="N63" s="2">
        <v>62.92</v>
      </c>
      <c r="O63" s="2">
        <v>63.16</v>
      </c>
      <c r="P63" s="2">
        <v>2</v>
      </c>
      <c r="Q63" s="2">
        <v>0</v>
      </c>
    </row>
    <row r="64" spans="1:20" ht="16" customHeight="1">
      <c r="J64" t="s">
        <v>1056</v>
      </c>
      <c r="K64" t="s">
        <v>1221</v>
      </c>
      <c r="L64" s="2" t="s">
        <v>1060</v>
      </c>
      <c r="M64" s="2">
        <v>22</v>
      </c>
      <c r="N64" s="2">
        <v>59.76</v>
      </c>
      <c r="O64" s="2">
        <v>50</v>
      </c>
      <c r="P64" s="2">
        <v>4</v>
      </c>
      <c r="Q64" s="2">
        <v>4</v>
      </c>
      <c r="R64" s="2">
        <v>180</v>
      </c>
    </row>
    <row r="65" spans="10:20" ht="16" customHeight="1">
      <c r="J65" t="s">
        <v>1057</v>
      </c>
      <c r="K65" t="s">
        <v>1222</v>
      </c>
      <c r="L65" s="2" t="s">
        <v>1061</v>
      </c>
      <c r="M65" s="2">
        <v>24</v>
      </c>
      <c r="N65" s="2">
        <v>59.12</v>
      </c>
      <c r="O65" s="2">
        <v>37.5</v>
      </c>
      <c r="P65" s="2">
        <v>4</v>
      </c>
      <c r="Q65" s="2">
        <v>1</v>
      </c>
    </row>
    <row r="66" spans="10:20" ht="16" customHeight="1">
      <c r="J66" t="s">
        <v>1058</v>
      </c>
      <c r="K66" t="s">
        <v>1243</v>
      </c>
      <c r="L66" s="2" t="s">
        <v>1067</v>
      </c>
      <c r="M66" s="2">
        <v>22</v>
      </c>
      <c r="N66" s="2">
        <v>58.78</v>
      </c>
      <c r="O66" s="2">
        <v>45.45</v>
      </c>
      <c r="P66" s="2">
        <v>8</v>
      </c>
      <c r="Q66" s="2">
        <v>0</v>
      </c>
      <c r="R66" s="2">
        <v>225</v>
      </c>
    </row>
    <row r="67" spans="10:20" ht="16" customHeight="1">
      <c r="J67" t="s">
        <v>1059</v>
      </c>
      <c r="K67" s="18" t="s">
        <v>1244</v>
      </c>
      <c r="L67" s="2" t="s">
        <v>1068</v>
      </c>
      <c r="M67" s="2">
        <v>23</v>
      </c>
      <c r="N67" s="2">
        <v>59.99</v>
      </c>
      <c r="O67" s="2">
        <v>43.48</v>
      </c>
      <c r="P67" s="2">
        <v>4</v>
      </c>
      <c r="Q67" s="2">
        <v>1</v>
      </c>
    </row>
    <row r="68" spans="10:20" ht="16" customHeight="1">
      <c r="J68" t="s">
        <v>1076</v>
      </c>
      <c r="K68" t="s">
        <v>1245</v>
      </c>
      <c r="L68" s="2" t="s">
        <v>1114</v>
      </c>
      <c r="M68" s="2">
        <v>18</v>
      </c>
      <c r="N68" s="2">
        <v>60.84</v>
      </c>
      <c r="O68" s="2">
        <v>72.22</v>
      </c>
      <c r="P68" s="2">
        <v>4</v>
      </c>
      <c r="Q68" s="2">
        <v>2</v>
      </c>
      <c r="R68" s="2">
        <v>212</v>
      </c>
      <c r="S68" s="63"/>
    </row>
    <row r="69" spans="10:20" ht="16" customHeight="1">
      <c r="J69" t="s">
        <v>1077</v>
      </c>
      <c r="K69" s="18" t="s">
        <v>1246</v>
      </c>
      <c r="L69" s="2" t="s">
        <v>1115</v>
      </c>
      <c r="M69" s="2">
        <v>18</v>
      </c>
      <c r="N69" s="2">
        <v>59.5</v>
      </c>
      <c r="O69" s="2">
        <v>61.11</v>
      </c>
      <c r="P69" s="2">
        <v>4</v>
      </c>
      <c r="Q69" s="2">
        <v>2</v>
      </c>
    </row>
    <row r="70" spans="10:20" ht="16" customHeight="1">
      <c r="J70" t="s">
        <v>1078</v>
      </c>
      <c r="K70" t="s">
        <v>1247</v>
      </c>
      <c r="L70" s="2" t="s">
        <v>1070</v>
      </c>
      <c r="M70" s="2">
        <v>21</v>
      </c>
      <c r="N70" s="2">
        <v>58.23</v>
      </c>
      <c r="O70" s="2">
        <v>52.38</v>
      </c>
      <c r="P70" s="2">
        <v>4</v>
      </c>
      <c r="Q70" s="2">
        <v>1</v>
      </c>
      <c r="R70" s="2">
        <v>177</v>
      </c>
      <c r="S70" s="2">
        <v>1076</v>
      </c>
    </row>
    <row r="71" spans="10:20" ht="16" customHeight="1">
      <c r="J71" t="s">
        <v>1079</v>
      </c>
      <c r="K71" s="18" t="s">
        <v>1248</v>
      </c>
      <c r="L71" s="2" t="s">
        <v>1071</v>
      </c>
      <c r="M71" s="2">
        <v>20</v>
      </c>
      <c r="N71" s="2">
        <v>58.93</v>
      </c>
      <c r="O71" s="2">
        <v>55</v>
      </c>
      <c r="P71" s="2">
        <v>3</v>
      </c>
      <c r="Q71" s="2">
        <v>0</v>
      </c>
    </row>
    <row r="72" spans="10:20" ht="16" customHeight="1">
      <c r="J72" t="s">
        <v>1084</v>
      </c>
      <c r="K72" t="s">
        <v>1249</v>
      </c>
      <c r="L72" s="2" t="s">
        <v>1072</v>
      </c>
      <c r="M72" s="2">
        <v>22</v>
      </c>
      <c r="N72" s="2">
        <v>59.9</v>
      </c>
      <c r="O72" s="2">
        <v>50</v>
      </c>
      <c r="P72" s="2">
        <v>6</v>
      </c>
      <c r="Q72" s="2">
        <v>2</v>
      </c>
      <c r="R72" s="2">
        <v>238</v>
      </c>
    </row>
    <row r="73" spans="10:20" ht="16" customHeight="1">
      <c r="J73" t="s">
        <v>1085</v>
      </c>
      <c r="K73" s="18" t="s">
        <v>1250</v>
      </c>
      <c r="L73" s="2" t="s">
        <v>1073</v>
      </c>
      <c r="M73" s="2">
        <v>21</v>
      </c>
      <c r="N73" s="2">
        <v>61.33</v>
      </c>
      <c r="O73" s="2">
        <v>57.14</v>
      </c>
      <c r="P73" s="2">
        <v>4</v>
      </c>
      <c r="Q73" s="2">
        <v>2</v>
      </c>
    </row>
    <row r="74" spans="10:20" ht="16" customHeight="1">
      <c r="J74" t="s">
        <v>1112</v>
      </c>
      <c r="K74" t="s">
        <v>1251</v>
      </c>
      <c r="L74" s="2" t="s">
        <v>1074</v>
      </c>
      <c r="M74" s="2">
        <v>22</v>
      </c>
      <c r="N74" s="2">
        <v>61.1</v>
      </c>
      <c r="O74" s="2">
        <v>50</v>
      </c>
      <c r="P74" s="2">
        <v>3</v>
      </c>
      <c r="Q74" s="2">
        <v>1</v>
      </c>
      <c r="R74" s="2">
        <v>209</v>
      </c>
      <c r="S74" s="2">
        <v>3422</v>
      </c>
      <c r="T74" s="2">
        <v>3933</v>
      </c>
    </row>
    <row r="75" spans="10:20" ht="16" customHeight="1">
      <c r="J75" t="s">
        <v>1113</v>
      </c>
      <c r="K75" s="18" t="s">
        <v>1252</v>
      </c>
      <c r="L75" s="2" t="s">
        <v>1075</v>
      </c>
      <c r="M75" s="2">
        <v>22</v>
      </c>
      <c r="N75" s="2">
        <v>60.69</v>
      </c>
      <c r="O75" s="2">
        <v>50</v>
      </c>
      <c r="P75" s="2">
        <v>4</v>
      </c>
      <c r="Q75" s="2">
        <v>4</v>
      </c>
    </row>
    <row r="76" spans="10:20" ht="16" customHeight="1">
      <c r="J76" t="s">
        <v>1120</v>
      </c>
      <c r="K76" t="s">
        <v>1253</v>
      </c>
      <c r="L76" s="2" t="s">
        <v>1081</v>
      </c>
      <c r="M76" s="2">
        <v>21</v>
      </c>
      <c r="N76" s="2">
        <v>58.31</v>
      </c>
      <c r="O76" s="2">
        <v>52.38</v>
      </c>
      <c r="P76" s="2">
        <v>4</v>
      </c>
      <c r="Q76" s="2">
        <v>3</v>
      </c>
      <c r="R76" s="2">
        <v>227</v>
      </c>
    </row>
    <row r="77" spans="10:20" ht="16" customHeight="1">
      <c r="J77" t="s">
        <v>1121</v>
      </c>
      <c r="K77" s="18" t="s">
        <v>1254</v>
      </c>
      <c r="L77" s="2" t="s">
        <v>1080</v>
      </c>
      <c r="M77" s="2">
        <v>23</v>
      </c>
      <c r="N77" s="2">
        <v>57.97</v>
      </c>
      <c r="O77" s="2">
        <v>39.130000000000003</v>
      </c>
      <c r="P77" s="2">
        <v>4</v>
      </c>
      <c r="Q77" s="2">
        <v>2</v>
      </c>
    </row>
    <row r="78" spans="10:20" ht="16" customHeight="1">
      <c r="J78" t="s">
        <v>1122</v>
      </c>
      <c r="K78" t="s">
        <v>1255</v>
      </c>
      <c r="L78" s="2" t="s">
        <v>1082</v>
      </c>
      <c r="M78" s="2">
        <v>22</v>
      </c>
      <c r="N78" s="2">
        <v>59.83</v>
      </c>
      <c r="O78" s="2">
        <v>50</v>
      </c>
      <c r="P78" s="2">
        <v>6</v>
      </c>
      <c r="Q78" s="2">
        <v>2</v>
      </c>
      <c r="R78" s="2">
        <v>220</v>
      </c>
    </row>
    <row r="79" spans="10:20" ht="17">
      <c r="J79" t="s">
        <v>1123</v>
      </c>
      <c r="K79" s="18" t="s">
        <v>1256</v>
      </c>
      <c r="L79" s="2" t="s">
        <v>1083</v>
      </c>
      <c r="M79" s="2">
        <v>22</v>
      </c>
      <c r="N79" s="2">
        <v>59.9</v>
      </c>
      <c r="O79" s="2">
        <v>50</v>
      </c>
      <c r="P79" s="2">
        <v>6</v>
      </c>
      <c r="Q79" s="2">
        <v>2</v>
      </c>
    </row>
    <row r="80" spans="10:20" ht="17">
      <c r="J80" t="s">
        <v>1137</v>
      </c>
      <c r="K80" t="s">
        <v>1257</v>
      </c>
      <c r="L80" s="2" t="s">
        <v>1135</v>
      </c>
      <c r="M80" s="2">
        <v>22</v>
      </c>
      <c r="N80" s="2">
        <v>59.64</v>
      </c>
      <c r="O80" s="2">
        <v>45.45</v>
      </c>
      <c r="P80" s="2">
        <v>4</v>
      </c>
      <c r="Q80" s="2">
        <v>2</v>
      </c>
      <c r="R80" s="2">
        <v>194</v>
      </c>
    </row>
    <row r="81" spans="1:21" ht="17">
      <c r="J81" t="s">
        <v>1138</v>
      </c>
      <c r="K81" s="18" t="s">
        <v>1258</v>
      </c>
      <c r="L81" s="2" t="s">
        <v>1136</v>
      </c>
      <c r="M81" s="2">
        <v>21</v>
      </c>
      <c r="N81" s="2">
        <v>59.8</v>
      </c>
      <c r="O81" s="2">
        <v>52.38</v>
      </c>
      <c r="P81" s="2">
        <v>8</v>
      </c>
      <c r="Q81" s="2">
        <v>0</v>
      </c>
    </row>
    <row r="82" spans="1:21" ht="17">
      <c r="J82" t="s">
        <v>1139</v>
      </c>
      <c r="K82" s="18" t="s">
        <v>1259</v>
      </c>
      <c r="L82" s="2" t="s">
        <v>1155</v>
      </c>
      <c r="M82" s="2">
        <v>23</v>
      </c>
      <c r="N82" s="2">
        <v>58.86</v>
      </c>
      <c r="O82" s="2">
        <v>47.83</v>
      </c>
      <c r="P82" s="2">
        <v>4</v>
      </c>
      <c r="Q82" s="2">
        <v>0</v>
      </c>
      <c r="R82" s="2">
        <v>189</v>
      </c>
      <c r="S82" s="2">
        <v>2962</v>
      </c>
    </row>
    <row r="83" spans="1:21" ht="17">
      <c r="J83" t="s">
        <v>1140</v>
      </c>
      <c r="K83" t="s">
        <v>1260</v>
      </c>
      <c r="L83" s="2" t="s">
        <v>1156</v>
      </c>
      <c r="M83" s="2">
        <v>22</v>
      </c>
      <c r="N83" s="2">
        <v>58.44</v>
      </c>
      <c r="O83" s="2">
        <v>45.45</v>
      </c>
      <c r="P83" s="2">
        <v>4</v>
      </c>
      <c r="Q83" s="2">
        <v>0</v>
      </c>
    </row>
    <row r="84" spans="1:21" ht="17">
      <c r="J84" t="s">
        <v>1141</v>
      </c>
      <c r="K84" t="s">
        <v>1261</v>
      </c>
      <c r="L84" s="2" t="s">
        <v>1169</v>
      </c>
      <c r="M84" s="2">
        <v>22</v>
      </c>
      <c r="N84" s="2">
        <v>60.35</v>
      </c>
      <c r="O84" s="2">
        <v>50</v>
      </c>
      <c r="P84" s="2">
        <v>3</v>
      </c>
      <c r="Q84" s="2">
        <v>2</v>
      </c>
      <c r="R84" s="2">
        <v>203</v>
      </c>
      <c r="S84" s="2">
        <v>2144</v>
      </c>
      <c r="T84" s="2">
        <v>2147</v>
      </c>
      <c r="U84" s="2">
        <v>2138</v>
      </c>
    </row>
    <row r="85" spans="1:21" ht="17">
      <c r="J85" t="s">
        <v>1142</v>
      </c>
      <c r="K85" s="18" t="s">
        <v>1262</v>
      </c>
      <c r="L85" s="2" t="s">
        <v>1170</v>
      </c>
      <c r="M85" s="2">
        <v>20</v>
      </c>
      <c r="N85" s="2">
        <v>60.03</v>
      </c>
      <c r="O85" s="2">
        <v>55</v>
      </c>
      <c r="P85" s="2">
        <v>8</v>
      </c>
      <c r="Q85" s="2">
        <v>0</v>
      </c>
    </row>
    <row r="86" spans="1:21" ht="17">
      <c r="J86" t="s">
        <v>1644</v>
      </c>
      <c r="K86" t="s">
        <v>1263</v>
      </c>
      <c r="L86" s="2" t="s">
        <v>1179</v>
      </c>
      <c r="M86" s="2">
        <v>22</v>
      </c>
      <c r="N86" s="2">
        <v>60.75</v>
      </c>
      <c r="O86" s="2">
        <v>54.55</v>
      </c>
      <c r="P86" s="2">
        <v>3</v>
      </c>
      <c r="Q86" s="2">
        <v>0</v>
      </c>
      <c r="R86" s="2">
        <v>237</v>
      </c>
    </row>
    <row r="87" spans="1:21" ht="17">
      <c r="J87" t="s">
        <v>1143</v>
      </c>
      <c r="K87" s="18" t="s">
        <v>1264</v>
      </c>
      <c r="L87" s="2" t="s">
        <v>1180</v>
      </c>
      <c r="M87" s="2">
        <v>20</v>
      </c>
      <c r="N87" s="2">
        <v>59.9</v>
      </c>
      <c r="O87" s="2">
        <v>55</v>
      </c>
      <c r="P87" s="2">
        <v>6</v>
      </c>
      <c r="Q87" s="2">
        <v>1</v>
      </c>
    </row>
    <row r="89" spans="1:21" ht="17">
      <c r="A89" s="11" t="s">
        <v>316</v>
      </c>
      <c r="B89" t="s">
        <v>59</v>
      </c>
      <c r="C89" t="s">
        <v>60</v>
      </c>
      <c r="D89" t="s">
        <v>61</v>
      </c>
      <c r="E89" t="s">
        <v>62</v>
      </c>
      <c r="F89" t="s">
        <v>63</v>
      </c>
      <c r="G89" t="s">
        <v>64</v>
      </c>
      <c r="H89" t="s">
        <v>65</v>
      </c>
      <c r="I89" t="s">
        <v>66</v>
      </c>
      <c r="L89" s="3" t="s">
        <v>993</v>
      </c>
      <c r="M89" s="3" t="s">
        <v>85</v>
      </c>
      <c r="N89" s="3" t="s">
        <v>86</v>
      </c>
      <c r="O89" s="3" t="s">
        <v>87</v>
      </c>
      <c r="P89" s="3" t="s">
        <v>88</v>
      </c>
      <c r="Q89" s="3" t="s">
        <v>89</v>
      </c>
      <c r="U89" s="108" t="s">
        <v>335</v>
      </c>
    </row>
    <row r="90" spans="1:21" ht="17">
      <c r="A90" s="105">
        <v>1</v>
      </c>
      <c r="B90" s="105" t="s">
        <v>55</v>
      </c>
      <c r="C90" s="105">
        <v>10866167</v>
      </c>
      <c r="D90" s="105">
        <v>10866178</v>
      </c>
      <c r="E90" t="s">
        <v>1632</v>
      </c>
      <c r="F90" s="111">
        <v>4</v>
      </c>
      <c r="G90" s="111">
        <v>6</v>
      </c>
      <c r="H90" s="2" t="s">
        <v>1607</v>
      </c>
      <c r="I90" s="2" t="s">
        <v>1608</v>
      </c>
      <c r="J90" t="s">
        <v>1645</v>
      </c>
      <c r="K90" t="s">
        <v>1669</v>
      </c>
      <c r="L90" s="2" t="s">
        <v>1607</v>
      </c>
      <c r="M90" s="2">
        <v>22</v>
      </c>
      <c r="N90" s="2">
        <v>60.02</v>
      </c>
      <c r="O90" s="2">
        <v>50</v>
      </c>
      <c r="P90" s="2">
        <v>5</v>
      </c>
      <c r="Q90" s="2">
        <v>3</v>
      </c>
      <c r="R90" s="2">
        <v>200</v>
      </c>
    </row>
    <row r="91" spans="1:21" ht="17">
      <c r="A91" s="105">
        <v>2</v>
      </c>
      <c r="B91" s="105" t="s">
        <v>46</v>
      </c>
      <c r="C91" s="105">
        <v>106285217</v>
      </c>
      <c r="D91" s="105">
        <v>106285226</v>
      </c>
      <c r="E91" t="s">
        <v>1633</v>
      </c>
      <c r="F91" s="111">
        <v>4</v>
      </c>
      <c r="G91" s="111">
        <v>6</v>
      </c>
      <c r="H91" s="2" t="s">
        <v>1609</v>
      </c>
      <c r="I91" s="2" t="s">
        <v>1610</v>
      </c>
      <c r="J91" t="s">
        <v>1646</v>
      </c>
      <c r="K91" t="s">
        <v>1670</v>
      </c>
      <c r="L91" s="2" t="s">
        <v>1608</v>
      </c>
      <c r="M91" s="2">
        <v>22</v>
      </c>
      <c r="N91" s="2">
        <v>59.25</v>
      </c>
      <c r="O91" s="2">
        <v>45.45</v>
      </c>
      <c r="P91" s="2">
        <v>5</v>
      </c>
      <c r="Q91" s="2">
        <v>1</v>
      </c>
    </row>
    <row r="92" spans="1:21" ht="17">
      <c r="A92" s="105">
        <v>5</v>
      </c>
      <c r="B92" s="105" t="s">
        <v>42</v>
      </c>
      <c r="C92" s="105">
        <v>141002122</v>
      </c>
      <c r="D92" s="105">
        <v>141002140</v>
      </c>
      <c r="E92" t="s">
        <v>1634</v>
      </c>
      <c r="F92" s="111">
        <v>4</v>
      </c>
      <c r="G92" s="111">
        <v>6</v>
      </c>
      <c r="H92" s="2" t="s">
        <v>1611</v>
      </c>
      <c r="I92" s="2" t="s">
        <v>1612</v>
      </c>
      <c r="J92" t="s">
        <v>1647</v>
      </c>
      <c r="K92" t="s">
        <v>1671</v>
      </c>
      <c r="L92" s="2" t="s">
        <v>1609</v>
      </c>
      <c r="M92" s="2">
        <v>18</v>
      </c>
      <c r="N92" s="2">
        <v>60.93</v>
      </c>
      <c r="O92" s="2">
        <v>66.67</v>
      </c>
      <c r="P92" s="2">
        <v>3</v>
      </c>
      <c r="Q92" s="2">
        <v>0</v>
      </c>
      <c r="R92" s="2">
        <v>194</v>
      </c>
    </row>
    <row r="93" spans="1:21" ht="17">
      <c r="A93" s="105">
        <v>6</v>
      </c>
      <c r="B93" s="105" t="s">
        <v>42</v>
      </c>
      <c r="C93" s="105">
        <v>67342966</v>
      </c>
      <c r="D93" s="105">
        <v>67342972</v>
      </c>
      <c r="E93" t="s">
        <v>1635</v>
      </c>
      <c r="F93" s="111">
        <v>6</v>
      </c>
      <c r="G93" s="111">
        <v>4</v>
      </c>
      <c r="H93" s="2" t="s">
        <v>1613</v>
      </c>
      <c r="I93" s="2" t="s">
        <v>1614</v>
      </c>
      <c r="J93" t="s">
        <v>1648</v>
      </c>
      <c r="K93" t="s">
        <v>1672</v>
      </c>
      <c r="L93" s="2" t="s">
        <v>1610</v>
      </c>
      <c r="M93" s="2">
        <v>22</v>
      </c>
      <c r="N93" s="2">
        <v>61.78</v>
      </c>
      <c r="O93" s="2">
        <v>54.55</v>
      </c>
      <c r="P93" s="2">
        <v>4</v>
      </c>
      <c r="Q93" s="2">
        <v>2</v>
      </c>
    </row>
    <row r="94" spans="1:21" ht="17">
      <c r="A94" s="105">
        <v>7</v>
      </c>
      <c r="B94" s="21" t="s">
        <v>49</v>
      </c>
      <c r="C94" s="129">
        <v>113616193</v>
      </c>
      <c r="D94" s="129">
        <v>113616220</v>
      </c>
      <c r="E94" t="s">
        <v>1636</v>
      </c>
      <c r="F94" s="111">
        <v>4</v>
      </c>
      <c r="G94" s="111">
        <v>6</v>
      </c>
      <c r="H94" s="2" t="s">
        <v>1615</v>
      </c>
      <c r="I94" s="2" t="s">
        <v>1616</v>
      </c>
      <c r="J94" t="s">
        <v>1649</v>
      </c>
      <c r="K94" t="s">
        <v>1673</v>
      </c>
      <c r="L94" s="2" t="s">
        <v>1611</v>
      </c>
      <c r="M94" s="2">
        <v>21</v>
      </c>
      <c r="N94" s="2">
        <v>60.34</v>
      </c>
      <c r="O94" s="2">
        <v>57.14</v>
      </c>
      <c r="P94" s="2">
        <v>3</v>
      </c>
      <c r="Q94" s="2">
        <v>1</v>
      </c>
      <c r="R94" s="2">
        <v>158</v>
      </c>
      <c r="S94" s="2">
        <v>1511</v>
      </c>
      <c r="T94" s="2">
        <v>1950</v>
      </c>
    </row>
    <row r="95" spans="1:21" ht="18">
      <c r="A95" s="105">
        <v>10</v>
      </c>
      <c r="B95" s="105" t="s">
        <v>56</v>
      </c>
      <c r="C95" s="105">
        <v>2634125</v>
      </c>
      <c r="D95" s="105">
        <v>2634143</v>
      </c>
      <c r="E95" t="s">
        <v>1637</v>
      </c>
      <c r="F95" s="111">
        <v>4</v>
      </c>
      <c r="G95" s="111">
        <v>6</v>
      </c>
      <c r="H95" s="2" t="s">
        <v>1617</v>
      </c>
      <c r="I95" s="2" t="s">
        <v>1618</v>
      </c>
      <c r="J95" t="s">
        <v>1650</v>
      </c>
      <c r="K95" t="s">
        <v>1674</v>
      </c>
      <c r="L95" s="2" t="s">
        <v>1612</v>
      </c>
      <c r="M95" s="2">
        <v>22</v>
      </c>
      <c r="N95" s="2">
        <v>59.51</v>
      </c>
      <c r="O95" s="2">
        <v>45.45</v>
      </c>
      <c r="P95" s="2">
        <v>4</v>
      </c>
      <c r="Q95" s="2">
        <v>0</v>
      </c>
      <c r="U95" s="110">
        <v>141002163</v>
      </c>
    </row>
    <row r="96" spans="1:21" ht="17">
      <c r="A96" s="105">
        <v>12</v>
      </c>
      <c r="B96" s="105" t="s">
        <v>964</v>
      </c>
      <c r="C96" s="105">
        <v>18020497</v>
      </c>
      <c r="D96" s="105">
        <v>18020518</v>
      </c>
      <c r="E96" t="s">
        <v>1638</v>
      </c>
      <c r="F96" s="111">
        <v>4</v>
      </c>
      <c r="G96" s="111">
        <v>6</v>
      </c>
      <c r="H96" s="2" t="s">
        <v>1621</v>
      </c>
      <c r="I96" s="2" t="s">
        <v>1622</v>
      </c>
      <c r="J96" t="s">
        <v>1651</v>
      </c>
      <c r="K96" t="s">
        <v>1675</v>
      </c>
      <c r="L96" s="2" t="s">
        <v>1613</v>
      </c>
      <c r="M96" s="2">
        <v>24</v>
      </c>
      <c r="N96" s="2">
        <v>60.57</v>
      </c>
      <c r="O96" s="2">
        <v>45.83</v>
      </c>
      <c r="P96" s="2">
        <v>4</v>
      </c>
      <c r="Q96" s="2">
        <v>2</v>
      </c>
      <c r="R96" s="2">
        <v>198</v>
      </c>
    </row>
    <row r="97" spans="1:21" ht="18">
      <c r="A97" s="105">
        <v>15</v>
      </c>
      <c r="B97" s="105" t="s">
        <v>55</v>
      </c>
      <c r="C97" s="105">
        <v>34825688</v>
      </c>
      <c r="D97" s="105">
        <v>34825701</v>
      </c>
      <c r="E97" t="s">
        <v>1639</v>
      </c>
      <c r="F97" s="111">
        <v>4</v>
      </c>
      <c r="G97" s="111">
        <v>6</v>
      </c>
      <c r="H97" s="2" t="s">
        <v>1619</v>
      </c>
      <c r="I97" s="2" t="s">
        <v>1620</v>
      </c>
      <c r="J97" t="s">
        <v>1652</v>
      </c>
      <c r="K97" t="s">
        <v>1676</v>
      </c>
      <c r="L97" s="2" t="s">
        <v>1614</v>
      </c>
      <c r="M97" s="2">
        <v>22</v>
      </c>
      <c r="N97" s="2">
        <v>61.61</v>
      </c>
      <c r="O97" s="2">
        <v>54.55</v>
      </c>
      <c r="P97" s="2">
        <v>6</v>
      </c>
      <c r="Q97" s="2">
        <v>1</v>
      </c>
      <c r="U97" s="110">
        <v>67343003</v>
      </c>
    </row>
    <row r="98" spans="1:21" ht="17">
      <c r="A98" s="105">
        <v>16</v>
      </c>
      <c r="B98" s="105" t="s">
        <v>40</v>
      </c>
      <c r="C98" s="105">
        <v>59982224</v>
      </c>
      <c r="D98" s="105">
        <v>59982236</v>
      </c>
      <c r="E98" t="s">
        <v>1640</v>
      </c>
      <c r="F98" s="111">
        <v>4</v>
      </c>
      <c r="G98" s="111">
        <v>6</v>
      </c>
      <c r="H98" s="2" t="s">
        <v>1623</v>
      </c>
      <c r="I98" s="2" t="s">
        <v>1624</v>
      </c>
      <c r="J98" t="s">
        <v>1653</v>
      </c>
      <c r="K98" t="s">
        <v>1677</v>
      </c>
      <c r="L98" s="2" t="s">
        <v>1615</v>
      </c>
      <c r="M98" s="2">
        <v>22</v>
      </c>
      <c r="N98" s="2">
        <v>58.36</v>
      </c>
      <c r="O98" s="2">
        <v>45.45</v>
      </c>
      <c r="P98" s="2">
        <v>5</v>
      </c>
      <c r="Q98" s="2">
        <v>3</v>
      </c>
    </row>
    <row r="99" spans="1:21" ht="18">
      <c r="A99" s="105">
        <v>23</v>
      </c>
      <c r="B99" s="105" t="s">
        <v>53</v>
      </c>
      <c r="C99" s="105">
        <v>7012400</v>
      </c>
      <c r="D99" s="105">
        <v>7012413</v>
      </c>
      <c r="E99" t="s">
        <v>1641</v>
      </c>
      <c r="F99" s="111">
        <v>4</v>
      </c>
      <c r="G99" s="111">
        <v>6</v>
      </c>
      <c r="H99" s="2" t="s">
        <v>1625</v>
      </c>
      <c r="I99" s="2" t="s">
        <v>1626</v>
      </c>
      <c r="J99" t="s">
        <v>1654</v>
      </c>
      <c r="K99" t="s">
        <v>1678</v>
      </c>
      <c r="L99" s="2" t="s">
        <v>1616</v>
      </c>
      <c r="M99" s="2">
        <v>24</v>
      </c>
      <c r="N99" s="2">
        <v>55.39</v>
      </c>
      <c r="O99" s="2">
        <v>33.33</v>
      </c>
      <c r="P99" s="2">
        <v>6</v>
      </c>
      <c r="Q99" s="2">
        <v>0</v>
      </c>
      <c r="U99" s="110">
        <v>113616233</v>
      </c>
    </row>
    <row r="100" spans="1:21" ht="17">
      <c r="A100" s="105">
        <v>27</v>
      </c>
      <c r="B100" s="105" t="s">
        <v>55</v>
      </c>
      <c r="C100" s="105">
        <v>16189904</v>
      </c>
      <c r="D100" s="105">
        <v>16189922</v>
      </c>
      <c r="E100" t="s">
        <v>1642</v>
      </c>
      <c r="F100" s="111">
        <v>4</v>
      </c>
      <c r="G100" s="111">
        <v>6</v>
      </c>
      <c r="H100" s="2" t="s">
        <v>1628</v>
      </c>
      <c r="I100" s="2" t="s">
        <v>1627</v>
      </c>
      <c r="J100" t="s">
        <v>1655</v>
      </c>
      <c r="K100" t="s">
        <v>1679</v>
      </c>
      <c r="L100" s="2" t="s">
        <v>1617</v>
      </c>
      <c r="M100" s="2">
        <v>22</v>
      </c>
      <c r="N100" s="2">
        <v>60.81</v>
      </c>
      <c r="O100" s="2">
        <v>54.55</v>
      </c>
      <c r="P100" s="2">
        <v>4</v>
      </c>
      <c r="Q100" s="2">
        <v>3</v>
      </c>
      <c r="R100" s="2">
        <v>180</v>
      </c>
      <c r="S100" s="2">
        <v>2860</v>
      </c>
    </row>
    <row r="101" spans="1:21" ht="17">
      <c r="A101" s="105">
        <v>30</v>
      </c>
      <c r="B101" s="105" t="s">
        <v>53</v>
      </c>
      <c r="C101" s="105">
        <v>48026500</v>
      </c>
      <c r="D101" s="105">
        <v>48026509</v>
      </c>
      <c r="E101" t="s">
        <v>1643</v>
      </c>
      <c r="F101" s="111">
        <v>4</v>
      </c>
      <c r="G101" s="111">
        <v>6</v>
      </c>
      <c r="H101" s="2" t="s">
        <v>1629</v>
      </c>
      <c r="I101" s="2" t="s">
        <v>1630</v>
      </c>
      <c r="J101" t="s">
        <v>1656</v>
      </c>
      <c r="K101" t="s">
        <v>1680</v>
      </c>
      <c r="L101" s="2" t="s">
        <v>1618</v>
      </c>
      <c r="M101" s="2">
        <v>20</v>
      </c>
      <c r="N101" s="2">
        <v>60.46</v>
      </c>
      <c r="O101" s="2">
        <v>60</v>
      </c>
      <c r="P101" s="2">
        <v>3</v>
      </c>
      <c r="Q101" s="2">
        <v>2</v>
      </c>
    </row>
    <row r="102" spans="1:21" ht="17">
      <c r="C102" t="s">
        <v>1905</v>
      </c>
      <c r="D102" t="s">
        <v>1906</v>
      </c>
      <c r="F102" s="111"/>
      <c r="G102" s="111"/>
      <c r="J102" t="s">
        <v>1657</v>
      </c>
      <c r="K102" t="s">
        <v>1681</v>
      </c>
      <c r="L102" s="2" t="s">
        <v>1621</v>
      </c>
      <c r="M102" s="2">
        <v>21</v>
      </c>
      <c r="N102" s="2">
        <v>60.68</v>
      </c>
      <c r="O102" s="2">
        <v>57.14</v>
      </c>
      <c r="P102" s="2">
        <v>7</v>
      </c>
      <c r="Q102" s="2">
        <v>5</v>
      </c>
      <c r="R102" s="2">
        <v>173</v>
      </c>
      <c r="S102" s="2">
        <v>3663</v>
      </c>
    </row>
    <row r="103" spans="1:21" ht="17">
      <c r="B103" s="113" t="s">
        <v>1693</v>
      </c>
      <c r="C103" s="109">
        <v>10866092</v>
      </c>
      <c r="D103" s="113">
        <v>10866291</v>
      </c>
      <c r="E103" t="s">
        <v>1632</v>
      </c>
      <c r="J103" t="s">
        <v>1658</v>
      </c>
      <c r="K103" t="s">
        <v>1682</v>
      </c>
      <c r="L103" s="2" t="s">
        <v>1622</v>
      </c>
      <c r="M103" s="2">
        <v>22</v>
      </c>
      <c r="N103" s="2">
        <v>60.87</v>
      </c>
      <c r="O103" s="2">
        <v>54.55</v>
      </c>
      <c r="P103" s="2">
        <v>8</v>
      </c>
      <c r="Q103" s="2">
        <v>5</v>
      </c>
    </row>
    <row r="104" spans="1:21" ht="18">
      <c r="B104" s="113" t="s">
        <v>46</v>
      </c>
      <c r="C104" s="115">
        <v>106285143</v>
      </c>
      <c r="D104" s="113">
        <v>106285336</v>
      </c>
      <c r="E104" t="s">
        <v>1633</v>
      </c>
      <c r="J104" t="s">
        <v>1659</v>
      </c>
      <c r="K104" t="s">
        <v>1683</v>
      </c>
      <c r="L104" s="2" t="s">
        <v>1619</v>
      </c>
      <c r="M104" s="2">
        <v>22</v>
      </c>
      <c r="N104" s="2">
        <v>60.42</v>
      </c>
      <c r="O104" s="2">
        <v>50</v>
      </c>
      <c r="P104" s="2">
        <v>2</v>
      </c>
      <c r="Q104" s="2">
        <v>0</v>
      </c>
      <c r="R104" s="2">
        <v>183</v>
      </c>
      <c r="S104" s="2">
        <v>2860</v>
      </c>
    </row>
    <row r="105" spans="1:21" ht="17">
      <c r="B105" s="113" t="s">
        <v>42</v>
      </c>
      <c r="C105" s="114">
        <v>141002027</v>
      </c>
      <c r="D105" s="113">
        <v>141002184</v>
      </c>
      <c r="E105" t="s">
        <v>1634</v>
      </c>
      <c r="J105" t="s">
        <v>1660</v>
      </c>
      <c r="K105" t="s">
        <v>1684</v>
      </c>
      <c r="L105" s="2" t="s">
        <v>1620</v>
      </c>
      <c r="M105" s="2">
        <v>22</v>
      </c>
      <c r="N105" s="2">
        <v>60.42</v>
      </c>
      <c r="O105" s="2">
        <v>50</v>
      </c>
      <c r="P105" s="2">
        <v>4</v>
      </c>
      <c r="Q105" s="2">
        <v>2</v>
      </c>
    </row>
    <row r="106" spans="1:21" ht="17">
      <c r="B106" s="113" t="s">
        <v>42</v>
      </c>
      <c r="C106" s="114">
        <v>67342827</v>
      </c>
      <c r="D106" s="113">
        <v>67343024</v>
      </c>
      <c r="E106" t="s">
        <v>1635</v>
      </c>
      <c r="J106" t="s">
        <v>1661</v>
      </c>
      <c r="K106" t="s">
        <v>1685</v>
      </c>
      <c r="L106" s="2" t="s">
        <v>1623</v>
      </c>
      <c r="M106" s="2">
        <v>22</v>
      </c>
      <c r="N106" s="2">
        <v>56.79</v>
      </c>
      <c r="O106" s="2">
        <v>40.909999999999997</v>
      </c>
      <c r="P106" s="2">
        <v>6</v>
      </c>
      <c r="Q106" s="2">
        <v>1</v>
      </c>
      <c r="R106" s="2">
        <v>153</v>
      </c>
    </row>
    <row r="107" spans="1:21" ht="17">
      <c r="B107" s="130" t="s">
        <v>42</v>
      </c>
      <c r="C107" s="131">
        <v>113616101</v>
      </c>
      <c r="D107" s="130">
        <v>113616256</v>
      </c>
      <c r="E107" t="s">
        <v>1636</v>
      </c>
      <c r="J107" t="s">
        <v>1662</v>
      </c>
      <c r="K107" t="s">
        <v>1686</v>
      </c>
      <c r="L107" s="2" t="s">
        <v>1624</v>
      </c>
      <c r="M107" s="2">
        <v>24</v>
      </c>
      <c r="N107" s="2">
        <v>56.51</v>
      </c>
      <c r="O107" s="2">
        <v>37.5</v>
      </c>
      <c r="P107" s="2">
        <v>6</v>
      </c>
      <c r="Q107" s="2">
        <v>2</v>
      </c>
    </row>
    <row r="108" spans="1:21" ht="17">
      <c r="B108" s="113" t="s">
        <v>56</v>
      </c>
      <c r="C108" s="114">
        <v>2634039</v>
      </c>
      <c r="D108" s="113">
        <v>2634218</v>
      </c>
      <c r="E108" t="s">
        <v>1637</v>
      </c>
      <c r="J108" t="s">
        <v>1663</v>
      </c>
      <c r="K108" t="s">
        <v>1687</v>
      </c>
      <c r="L108" s="2" t="s">
        <v>1625</v>
      </c>
      <c r="M108" s="2">
        <v>20</v>
      </c>
      <c r="N108" s="2">
        <v>60.61</v>
      </c>
      <c r="O108" s="2">
        <v>55</v>
      </c>
      <c r="P108" s="2">
        <v>5</v>
      </c>
      <c r="Q108" s="2">
        <v>4</v>
      </c>
      <c r="R108" s="2">
        <v>181</v>
      </c>
    </row>
    <row r="109" spans="1:21" ht="17">
      <c r="B109" s="113" t="s">
        <v>964</v>
      </c>
      <c r="C109" s="114">
        <v>18020399</v>
      </c>
      <c r="D109" s="113">
        <v>18020571</v>
      </c>
      <c r="E109" t="s">
        <v>1638</v>
      </c>
      <c r="J109" t="s">
        <v>1664</v>
      </c>
      <c r="K109" t="s">
        <v>1688</v>
      </c>
      <c r="L109" s="2" t="s">
        <v>1626</v>
      </c>
      <c r="M109" s="2">
        <v>21</v>
      </c>
      <c r="N109" s="2">
        <v>60.6</v>
      </c>
      <c r="O109" s="2">
        <v>52.38</v>
      </c>
      <c r="P109" s="2">
        <v>3</v>
      </c>
      <c r="Q109" s="2">
        <v>1</v>
      </c>
    </row>
    <row r="110" spans="1:21" ht="18">
      <c r="B110" s="113" t="s">
        <v>55</v>
      </c>
      <c r="C110" s="115">
        <v>34825612</v>
      </c>
      <c r="D110" s="113">
        <v>34825794</v>
      </c>
      <c r="E110" t="s">
        <v>1639</v>
      </c>
      <c r="J110" t="s">
        <v>1665</v>
      </c>
      <c r="K110" t="s">
        <v>1689</v>
      </c>
      <c r="L110" s="2" t="s">
        <v>1628</v>
      </c>
      <c r="M110" s="2">
        <v>20</v>
      </c>
      <c r="N110" s="2">
        <v>59.61</v>
      </c>
      <c r="O110" s="2">
        <v>50</v>
      </c>
      <c r="P110" s="2">
        <v>4</v>
      </c>
      <c r="Q110" s="2">
        <v>3</v>
      </c>
      <c r="R110" s="2">
        <v>164</v>
      </c>
      <c r="S110" s="2">
        <v>81</v>
      </c>
      <c r="T110" s="2">
        <v>2114</v>
      </c>
    </row>
    <row r="111" spans="1:21" ht="17">
      <c r="B111" s="113" t="s">
        <v>40</v>
      </c>
      <c r="C111" s="114">
        <v>59982153</v>
      </c>
      <c r="D111" s="113">
        <v>59982305</v>
      </c>
      <c r="E111" t="s">
        <v>1640</v>
      </c>
      <c r="J111" t="s">
        <v>1666</v>
      </c>
      <c r="K111" t="s">
        <v>1690</v>
      </c>
      <c r="L111" s="2" t="s">
        <v>1627</v>
      </c>
      <c r="M111" s="2">
        <v>20</v>
      </c>
      <c r="N111" s="2">
        <v>60.32</v>
      </c>
      <c r="O111" s="2">
        <v>60</v>
      </c>
      <c r="P111" s="2">
        <v>4</v>
      </c>
      <c r="Q111" s="2">
        <v>0</v>
      </c>
    </row>
    <row r="112" spans="1:21" ht="17">
      <c r="B112" s="113" t="s">
        <v>53</v>
      </c>
      <c r="C112" s="114">
        <v>7012330</v>
      </c>
      <c r="D112" s="113">
        <v>7012510</v>
      </c>
      <c r="E112" t="s">
        <v>1641</v>
      </c>
      <c r="J112" t="s">
        <v>1667</v>
      </c>
      <c r="K112" t="s">
        <v>1691</v>
      </c>
      <c r="L112" s="2" t="s">
        <v>1629</v>
      </c>
      <c r="M112" s="2">
        <v>22</v>
      </c>
      <c r="N112" s="2">
        <v>61.52</v>
      </c>
      <c r="O112" s="2">
        <v>54.55</v>
      </c>
      <c r="P112" s="2">
        <v>6</v>
      </c>
      <c r="Q112" s="2">
        <v>4</v>
      </c>
      <c r="R112" s="2">
        <v>223</v>
      </c>
    </row>
    <row r="113" spans="2:19" ht="17">
      <c r="B113" s="113" t="s">
        <v>55</v>
      </c>
      <c r="C113" s="114">
        <v>16189819</v>
      </c>
      <c r="D113" s="113">
        <v>16189982</v>
      </c>
      <c r="E113" t="s">
        <v>1642</v>
      </c>
      <c r="J113" t="s">
        <v>1668</v>
      </c>
      <c r="K113" t="s">
        <v>1692</v>
      </c>
      <c r="L113" s="2" t="s">
        <v>1630</v>
      </c>
      <c r="M113" s="2">
        <v>19</v>
      </c>
      <c r="N113" s="2">
        <v>60.44</v>
      </c>
      <c r="O113" s="2">
        <v>57.89</v>
      </c>
      <c r="P113" s="2">
        <v>4</v>
      </c>
      <c r="Q113" s="2">
        <v>2</v>
      </c>
    </row>
    <row r="114" spans="2:19" ht="18">
      <c r="B114" s="113" t="s">
        <v>53</v>
      </c>
      <c r="C114" s="114">
        <v>48026408</v>
      </c>
      <c r="D114" s="110">
        <v>48026630</v>
      </c>
      <c r="E114" t="s">
        <v>1643</v>
      </c>
    </row>
    <row r="115" spans="2:19" ht="17">
      <c r="J115" t="s">
        <v>1907</v>
      </c>
      <c r="K115" t="s">
        <v>1912</v>
      </c>
      <c r="L115" s="2" t="s">
        <v>1909</v>
      </c>
      <c r="M115" s="2">
        <v>24</v>
      </c>
      <c r="N115" s="2">
        <v>57.99</v>
      </c>
      <c r="O115" s="2">
        <v>45.83</v>
      </c>
      <c r="P115" s="2">
        <v>6</v>
      </c>
      <c r="Q115" s="2">
        <v>4</v>
      </c>
      <c r="R115" s="2">
        <v>227</v>
      </c>
      <c r="S115" s="2">
        <v>2521</v>
      </c>
    </row>
    <row r="116" spans="2:19" ht="18">
      <c r="B116" s="21" t="s">
        <v>49</v>
      </c>
      <c r="C116" s="110">
        <v>113616120</v>
      </c>
      <c r="D116" s="110">
        <v>113616346</v>
      </c>
      <c r="E116" t="s">
        <v>1911</v>
      </c>
      <c r="F116">
        <v>6</v>
      </c>
      <c r="G116">
        <v>4</v>
      </c>
      <c r="H116" s="2" t="s">
        <v>1909</v>
      </c>
      <c r="I116" s="2" t="s">
        <v>1910</v>
      </c>
      <c r="J116" t="s">
        <v>1908</v>
      </c>
      <c r="K116" t="s">
        <v>1913</v>
      </c>
      <c r="L116" s="2" t="s">
        <v>1910</v>
      </c>
      <c r="M116" s="2">
        <v>22</v>
      </c>
      <c r="N116" s="2">
        <v>58.3</v>
      </c>
      <c r="O116" s="2">
        <v>45.45</v>
      </c>
      <c r="P116" s="2">
        <v>4</v>
      </c>
      <c r="Q116" s="2">
        <v>0</v>
      </c>
    </row>
    <row r="124" spans="2:19" s="105" customFormat="1"/>
    <row r="125" spans="2:19" s="105" customFormat="1"/>
    <row r="126" spans="2:19" s="105" customFormat="1"/>
    <row r="127" spans="2:19" s="105" customFormat="1"/>
    <row r="128" spans="2:19" s="105" customFormat="1"/>
    <row r="129" s="105" customFormat="1"/>
    <row r="130" s="105" customFormat="1"/>
    <row r="131" s="105" customFormat="1"/>
    <row r="132" s="105" customFormat="1"/>
    <row r="133" s="105" customFormat="1"/>
    <row r="134" s="105" customFormat="1"/>
    <row r="135" s="105" customFormat="1"/>
  </sheetData>
  <phoneticPr fontId="2" type="noConversion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20"/>
  <sheetViews>
    <sheetView topLeftCell="E1" workbookViewId="0">
      <selection activeCell="K29" sqref="K29"/>
    </sheetView>
  </sheetViews>
  <sheetFormatPr baseColWidth="10" defaultRowHeight="16"/>
  <cols>
    <col min="1" max="1" width="18" bestFit="1" customWidth="1"/>
    <col min="2" max="3" width="11" customWidth="1"/>
    <col min="4" max="4" width="34" bestFit="1" customWidth="1"/>
    <col min="5" max="5" width="34" customWidth="1"/>
    <col min="6" max="6" width="21.33203125" bestFit="1" customWidth="1"/>
    <col min="7" max="7" width="8.5" customWidth="1"/>
    <col min="8" max="8" width="8.6640625" customWidth="1"/>
    <col min="9" max="9" width="39.83203125" bestFit="1" customWidth="1"/>
    <col min="10" max="10" width="41.33203125" bestFit="1" customWidth="1"/>
    <col min="11" max="11" width="24" customWidth="1"/>
    <col min="12" max="12" width="74.33203125" bestFit="1" customWidth="1"/>
    <col min="13" max="13" width="15" customWidth="1"/>
    <col min="14" max="14" width="41.33203125" bestFit="1" customWidth="1"/>
    <col min="15" max="15" width="15.33203125" bestFit="1" customWidth="1"/>
  </cols>
  <sheetData>
    <row r="1" spans="1:20" ht="17">
      <c r="A1" s="11" t="s">
        <v>748</v>
      </c>
      <c r="B1" t="s">
        <v>747</v>
      </c>
      <c r="C1" t="s">
        <v>746</v>
      </c>
      <c r="D1" t="s">
        <v>745</v>
      </c>
      <c r="E1" t="s">
        <v>744</v>
      </c>
      <c r="F1" t="s">
        <v>743</v>
      </c>
      <c r="G1" t="s">
        <v>742</v>
      </c>
      <c r="H1" t="s">
        <v>741</v>
      </c>
      <c r="I1" t="s">
        <v>740</v>
      </c>
      <c r="J1" t="s">
        <v>739</v>
      </c>
      <c r="M1" s="44"/>
      <c r="N1" s="3" t="s">
        <v>84</v>
      </c>
      <c r="O1" s="3" t="s">
        <v>85</v>
      </c>
      <c r="P1" s="3" t="s">
        <v>86</v>
      </c>
      <c r="Q1" s="3" t="s">
        <v>87</v>
      </c>
      <c r="R1" s="3" t="s">
        <v>88</v>
      </c>
      <c r="S1" s="3" t="s">
        <v>89</v>
      </c>
    </row>
    <row r="2" spans="1:20" ht="16" customHeight="1">
      <c r="A2" t="s">
        <v>737</v>
      </c>
      <c r="B2" s="42"/>
      <c r="C2" s="43"/>
      <c r="D2" s="43"/>
      <c r="E2" s="5" t="s">
        <v>738</v>
      </c>
      <c r="F2" t="s">
        <v>737</v>
      </c>
      <c r="G2">
        <v>6</v>
      </c>
      <c r="H2">
        <v>4</v>
      </c>
      <c r="I2" s="2" t="s">
        <v>734</v>
      </c>
      <c r="J2" s="2" t="s">
        <v>727</v>
      </c>
      <c r="K2" t="s">
        <v>736</v>
      </c>
      <c r="L2" t="s">
        <v>735</v>
      </c>
      <c r="M2" s="13">
        <v>32761843</v>
      </c>
      <c r="N2" s="2" t="s">
        <v>734</v>
      </c>
      <c r="O2" s="2">
        <v>23</v>
      </c>
      <c r="P2" s="2">
        <v>61.68</v>
      </c>
      <c r="Q2" s="2">
        <v>52.17</v>
      </c>
      <c r="R2" s="2">
        <v>5</v>
      </c>
      <c r="S2" s="2">
        <v>0</v>
      </c>
      <c r="T2">
        <f>M3-M2+1</f>
        <v>231</v>
      </c>
    </row>
    <row r="3" spans="1:20" ht="16" customHeight="1">
      <c r="A3" s="16" t="s">
        <v>733</v>
      </c>
      <c r="B3" s="5" t="s">
        <v>732</v>
      </c>
      <c r="C3" s="43"/>
      <c r="D3" s="43"/>
      <c r="E3" s="47" t="s">
        <v>731</v>
      </c>
      <c r="F3" t="s">
        <v>730</v>
      </c>
      <c r="G3">
        <v>4</v>
      </c>
      <c r="H3">
        <v>6</v>
      </c>
      <c r="I3" s="2" t="s">
        <v>721</v>
      </c>
      <c r="J3" s="2" t="s">
        <v>715</v>
      </c>
      <c r="K3" t="s">
        <v>729</v>
      </c>
      <c r="L3" t="s">
        <v>728</v>
      </c>
      <c r="M3" s="13">
        <v>32762073</v>
      </c>
      <c r="N3" s="2" t="s">
        <v>727</v>
      </c>
      <c r="O3" s="2">
        <v>22</v>
      </c>
      <c r="P3" s="2">
        <v>61.69</v>
      </c>
      <c r="Q3" s="2">
        <v>54.55</v>
      </c>
      <c r="R3" s="2">
        <v>4</v>
      </c>
      <c r="S3" s="2">
        <v>1</v>
      </c>
    </row>
    <row r="4" spans="1:20" ht="16" customHeight="1">
      <c r="A4" s="16" t="s">
        <v>726</v>
      </c>
      <c r="B4" s="5" t="s">
        <v>40</v>
      </c>
      <c r="E4" s="47" t="s">
        <v>725</v>
      </c>
      <c r="F4" t="s">
        <v>724</v>
      </c>
      <c r="G4">
        <v>4</v>
      </c>
      <c r="H4">
        <v>6</v>
      </c>
      <c r="I4" s="2" t="s">
        <v>708</v>
      </c>
      <c r="J4" s="2" t="s">
        <v>705</v>
      </c>
      <c r="K4" t="s">
        <v>723</v>
      </c>
      <c r="L4" t="s">
        <v>722</v>
      </c>
      <c r="M4" s="13">
        <v>61435394</v>
      </c>
      <c r="N4" s="2" t="s">
        <v>721</v>
      </c>
      <c r="O4" s="2">
        <v>22</v>
      </c>
      <c r="P4" s="2">
        <v>61.62</v>
      </c>
      <c r="Q4" s="2">
        <v>54.55</v>
      </c>
      <c r="R4" s="2">
        <v>4</v>
      </c>
      <c r="S4" s="2">
        <v>2</v>
      </c>
      <c r="T4">
        <f>M5-M4+1</f>
        <v>190</v>
      </c>
    </row>
    <row r="5" spans="1:20" ht="17">
      <c r="A5" s="16" t="s">
        <v>720</v>
      </c>
      <c r="B5" s="5" t="s">
        <v>40</v>
      </c>
      <c r="E5" s="47" t="s">
        <v>719</v>
      </c>
      <c r="F5" t="s">
        <v>718</v>
      </c>
      <c r="G5">
        <v>4</v>
      </c>
      <c r="H5">
        <v>6</v>
      </c>
      <c r="I5" s="2" t="s">
        <v>702</v>
      </c>
      <c r="J5" s="2" t="s">
        <v>699</v>
      </c>
      <c r="K5" t="s">
        <v>717</v>
      </c>
      <c r="L5" t="s">
        <v>716</v>
      </c>
      <c r="M5" s="13">
        <v>61435583</v>
      </c>
      <c r="N5" s="2" t="s">
        <v>715</v>
      </c>
      <c r="O5" s="2">
        <v>22</v>
      </c>
      <c r="P5" s="2">
        <v>61.53</v>
      </c>
      <c r="Q5" s="2">
        <v>59.09</v>
      </c>
      <c r="R5" s="2">
        <v>6</v>
      </c>
      <c r="S5" s="2">
        <v>2</v>
      </c>
    </row>
    <row r="6" spans="1:20" ht="17">
      <c r="A6" s="16" t="s">
        <v>714</v>
      </c>
      <c r="B6" s="5" t="s">
        <v>713</v>
      </c>
      <c r="E6" s="46" t="s">
        <v>712</v>
      </c>
      <c r="F6" t="s">
        <v>711</v>
      </c>
      <c r="G6">
        <v>4</v>
      </c>
      <c r="H6">
        <v>6</v>
      </c>
      <c r="I6" s="2" t="s">
        <v>696</v>
      </c>
      <c r="J6" s="2" t="s">
        <v>693</v>
      </c>
      <c r="K6" t="s">
        <v>710</v>
      </c>
      <c r="L6" s="18" t="s">
        <v>709</v>
      </c>
      <c r="M6" s="13">
        <v>125006198</v>
      </c>
      <c r="N6" s="2" t="s">
        <v>708</v>
      </c>
      <c r="O6" s="2">
        <v>22</v>
      </c>
      <c r="P6" s="2">
        <v>64.930000000000007</v>
      </c>
      <c r="Q6" s="2">
        <v>63.64</v>
      </c>
      <c r="R6" s="2">
        <v>5</v>
      </c>
      <c r="S6" s="2">
        <v>2</v>
      </c>
      <c r="T6">
        <f>M7-M6+1</f>
        <v>177</v>
      </c>
    </row>
    <row r="7" spans="1:20" ht="17">
      <c r="K7" t="s">
        <v>707</v>
      </c>
      <c r="L7" t="s">
        <v>706</v>
      </c>
      <c r="M7" s="13">
        <v>125006374</v>
      </c>
      <c r="N7" s="2" t="s">
        <v>705</v>
      </c>
      <c r="O7" s="2">
        <v>24</v>
      </c>
      <c r="P7" s="2">
        <v>65.930000000000007</v>
      </c>
      <c r="Q7" s="2">
        <v>58.33</v>
      </c>
      <c r="R7" s="2">
        <v>4</v>
      </c>
      <c r="S7" s="2">
        <v>4</v>
      </c>
    </row>
    <row r="8" spans="1:20" ht="17">
      <c r="K8" t="s">
        <v>704</v>
      </c>
      <c r="L8" s="18" t="s">
        <v>703</v>
      </c>
      <c r="M8" s="13">
        <v>75343261</v>
      </c>
      <c r="N8" s="2" t="s">
        <v>702</v>
      </c>
      <c r="O8" s="2">
        <v>20</v>
      </c>
      <c r="P8" s="2">
        <v>59.89</v>
      </c>
      <c r="Q8" s="2">
        <v>55</v>
      </c>
      <c r="R8" s="2">
        <v>3</v>
      </c>
      <c r="S8" s="2">
        <v>1</v>
      </c>
      <c r="T8">
        <f>M9-M8+1</f>
        <v>175</v>
      </c>
    </row>
    <row r="9" spans="1:20" ht="17">
      <c r="K9" t="s">
        <v>701</v>
      </c>
      <c r="L9" t="s">
        <v>700</v>
      </c>
      <c r="M9" s="13">
        <v>75343435</v>
      </c>
      <c r="N9" s="2" t="s">
        <v>699</v>
      </c>
      <c r="O9" s="2">
        <v>20</v>
      </c>
      <c r="P9" s="2">
        <v>60.6</v>
      </c>
      <c r="Q9" s="2">
        <v>60</v>
      </c>
      <c r="R9" s="2">
        <v>3</v>
      </c>
      <c r="S9" s="2">
        <v>0</v>
      </c>
    </row>
    <row r="10" spans="1:20" ht="17">
      <c r="K10" t="s">
        <v>698</v>
      </c>
      <c r="L10" s="18" t="s">
        <v>697</v>
      </c>
      <c r="M10" s="13">
        <v>40751978</v>
      </c>
      <c r="N10" s="2" t="s">
        <v>696</v>
      </c>
      <c r="O10" s="2">
        <v>22</v>
      </c>
      <c r="P10" s="2">
        <v>63.66</v>
      </c>
      <c r="Q10" s="2">
        <v>59.09</v>
      </c>
      <c r="R10" s="2">
        <v>4</v>
      </c>
      <c r="S10" s="2">
        <v>0</v>
      </c>
      <c r="T10">
        <f>M11-M10+1</f>
        <v>212</v>
      </c>
    </row>
    <row r="11" spans="1:20" ht="17">
      <c r="K11" t="s">
        <v>695</v>
      </c>
      <c r="L11" t="s">
        <v>694</v>
      </c>
      <c r="M11" s="13">
        <v>40752189</v>
      </c>
      <c r="N11" s="2" t="s">
        <v>693</v>
      </c>
      <c r="O11" s="2">
        <v>22</v>
      </c>
      <c r="P11" s="2">
        <v>63.75</v>
      </c>
      <c r="Q11" s="2">
        <v>59.09</v>
      </c>
      <c r="R11" s="2">
        <v>5</v>
      </c>
      <c r="S11" s="2">
        <v>4</v>
      </c>
    </row>
    <row r="13" spans="1:20" ht="17">
      <c r="F13" t="s">
        <v>590</v>
      </c>
      <c r="G13">
        <v>6</v>
      </c>
      <c r="H13">
        <v>4</v>
      </c>
      <c r="I13" s="2" t="s">
        <v>585</v>
      </c>
      <c r="J13" s="2" t="s">
        <v>586</v>
      </c>
      <c r="K13" t="s">
        <v>587</v>
      </c>
      <c r="L13" t="s">
        <v>601</v>
      </c>
      <c r="M13" s="15">
        <v>107422241</v>
      </c>
      <c r="N13" s="2" t="s">
        <v>585</v>
      </c>
      <c r="O13" s="2">
        <v>24</v>
      </c>
      <c r="P13" s="2">
        <v>58.23</v>
      </c>
      <c r="Q13" s="2">
        <v>41.67</v>
      </c>
      <c r="R13" s="2">
        <v>7</v>
      </c>
      <c r="S13" s="2">
        <v>3</v>
      </c>
      <c r="T13" s="2">
        <f>M14-M13+1</f>
        <v>233</v>
      </c>
    </row>
    <row r="14" spans="1:20" ht="17">
      <c r="K14" t="s">
        <v>588</v>
      </c>
      <c r="L14" t="s">
        <v>602</v>
      </c>
      <c r="M14" s="15">
        <v>107422473</v>
      </c>
      <c r="N14" s="2" t="s">
        <v>586</v>
      </c>
      <c r="O14" s="2">
        <v>22</v>
      </c>
      <c r="P14" s="2">
        <v>59.05</v>
      </c>
      <c r="Q14" s="2">
        <v>45.45</v>
      </c>
      <c r="R14" s="2">
        <v>6</v>
      </c>
      <c r="S14" s="2">
        <v>4</v>
      </c>
    </row>
    <row r="16" spans="1:20" ht="17">
      <c r="F16" t="s">
        <v>1271</v>
      </c>
      <c r="G16">
        <v>4</v>
      </c>
      <c r="H16">
        <v>6</v>
      </c>
      <c r="I16" s="2" t="s">
        <v>1279</v>
      </c>
      <c r="J16" s="2" t="s">
        <v>1280</v>
      </c>
      <c r="K16" t="s">
        <v>1277</v>
      </c>
      <c r="L16" t="s">
        <v>1286</v>
      </c>
      <c r="N16" s="2" t="s">
        <v>1279</v>
      </c>
      <c r="O16" s="2">
        <v>22</v>
      </c>
      <c r="P16" s="2">
        <v>60.94</v>
      </c>
      <c r="Q16" s="2">
        <v>45.45</v>
      </c>
      <c r="R16" s="2">
        <v>4</v>
      </c>
      <c r="S16" s="2">
        <v>0</v>
      </c>
      <c r="T16" s="2">
        <v>212</v>
      </c>
    </row>
    <row r="17" spans="6:20" ht="17">
      <c r="K17" t="s">
        <v>1278</v>
      </c>
      <c r="L17" t="s">
        <v>1287</v>
      </c>
      <c r="N17" s="2" t="s">
        <v>1280</v>
      </c>
      <c r="O17" s="2">
        <v>24</v>
      </c>
      <c r="P17" s="2">
        <v>60.02</v>
      </c>
      <c r="Q17" s="2">
        <v>41.67</v>
      </c>
      <c r="R17" s="2">
        <v>2</v>
      </c>
      <c r="S17" s="2">
        <v>2</v>
      </c>
    </row>
    <row r="19" spans="6:20" ht="17">
      <c r="F19" t="s">
        <v>1283</v>
      </c>
      <c r="G19">
        <v>4</v>
      </c>
      <c r="H19">
        <v>6</v>
      </c>
      <c r="I19" s="2" t="s">
        <v>1284</v>
      </c>
      <c r="J19" s="2" t="s">
        <v>1285</v>
      </c>
      <c r="K19" t="s">
        <v>1281</v>
      </c>
      <c r="L19" t="s">
        <v>1288</v>
      </c>
      <c r="N19" s="2" t="s">
        <v>1284</v>
      </c>
      <c r="O19" s="2">
        <v>19</v>
      </c>
      <c r="P19" s="2">
        <v>60.38</v>
      </c>
      <c r="Q19" s="2">
        <v>57.89</v>
      </c>
      <c r="R19" s="2">
        <v>4</v>
      </c>
      <c r="S19" s="2">
        <v>2</v>
      </c>
      <c r="T19" s="2">
        <v>222</v>
      </c>
    </row>
    <row r="20" spans="6:20" ht="17">
      <c r="K20" t="s">
        <v>1282</v>
      </c>
      <c r="L20" t="s">
        <v>1289</v>
      </c>
      <c r="N20" s="2" t="s">
        <v>1285</v>
      </c>
      <c r="O20" s="2">
        <v>20</v>
      </c>
      <c r="P20" s="2">
        <v>60.25</v>
      </c>
      <c r="Q20" s="2">
        <v>55</v>
      </c>
      <c r="R20" s="2">
        <v>4</v>
      </c>
      <c r="S20" s="2">
        <v>1</v>
      </c>
    </row>
  </sheetData>
  <phoneticPr fontId="2" type="noConversion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90F42-275A-5941-BD7E-28C829958090}">
  <dimension ref="A1:AB59"/>
  <sheetViews>
    <sheetView topLeftCell="L24" zoomScale="131" zoomScaleNormal="100" workbookViewId="0">
      <selection activeCell="N30" sqref="N30"/>
    </sheetView>
  </sheetViews>
  <sheetFormatPr baseColWidth="10" defaultRowHeight="16"/>
  <cols>
    <col min="1" max="1" width="13.6640625" customWidth="1"/>
    <col min="2" max="2" width="7" customWidth="1"/>
    <col min="5" max="5" width="13.33203125" style="112" customWidth="1"/>
    <col min="6" max="6" width="14" bestFit="1" customWidth="1"/>
    <col min="8" max="8" width="41.33203125" bestFit="1" customWidth="1"/>
    <col min="9" max="9" width="41" bestFit="1" customWidth="1"/>
    <col min="10" max="10" width="12.6640625" customWidth="1"/>
    <col min="11" max="11" width="15.5" customWidth="1"/>
    <col min="12" max="12" width="23.33203125" bestFit="1" customWidth="1"/>
    <col min="13" max="13" width="20.1640625" customWidth="1"/>
    <col min="14" max="14" width="81.83203125" bestFit="1" customWidth="1"/>
    <col min="15" max="15" width="41.33203125" bestFit="1" customWidth="1"/>
    <col min="16" max="16" width="12.83203125" customWidth="1"/>
    <col min="17" max="17" width="6.1640625" customWidth="1"/>
    <col min="18" max="18" width="5.6640625" customWidth="1"/>
    <col min="20" max="20" width="24.83203125" bestFit="1" customWidth="1"/>
    <col min="22" max="22" width="8" customWidth="1"/>
    <col min="23" max="23" width="12.6640625" bestFit="1" customWidth="1"/>
    <col min="24" max="24" width="17.6640625" customWidth="1"/>
    <col min="28" max="28" width="39.33203125" bestFit="1" customWidth="1"/>
  </cols>
  <sheetData>
    <row r="1" spans="1:28">
      <c r="B1" t="s">
        <v>808</v>
      </c>
      <c r="C1" t="s">
        <v>809</v>
      </c>
      <c r="D1" t="s">
        <v>810</v>
      </c>
      <c r="E1" s="112" t="s">
        <v>1402</v>
      </c>
      <c r="F1" t="s">
        <v>1858</v>
      </c>
      <c r="G1" t="s">
        <v>1405</v>
      </c>
      <c r="H1" t="s">
        <v>1406</v>
      </c>
      <c r="I1" t="s">
        <v>1408</v>
      </c>
      <c r="J1" t="s">
        <v>1409</v>
      </c>
      <c r="K1" t="s">
        <v>1419</v>
      </c>
      <c r="L1" t="s">
        <v>1420</v>
      </c>
      <c r="M1" t="s">
        <v>1421</v>
      </c>
      <c r="N1" t="s">
        <v>1422</v>
      </c>
      <c r="O1" t="s">
        <v>1423</v>
      </c>
      <c r="P1" t="s">
        <v>1424</v>
      </c>
      <c r="Q1" t="s">
        <v>1857</v>
      </c>
      <c r="R1" t="s">
        <v>1856</v>
      </c>
      <c r="S1" t="s">
        <v>1855</v>
      </c>
      <c r="T1" t="s">
        <v>1854</v>
      </c>
      <c r="U1" t="s">
        <v>1425</v>
      </c>
      <c r="V1" t="s">
        <v>1853</v>
      </c>
      <c r="W1" t="s">
        <v>1852</v>
      </c>
      <c r="X1" t="s">
        <v>1851</v>
      </c>
      <c r="Y1" t="s">
        <v>1850</v>
      </c>
      <c r="Z1" t="s">
        <v>1850</v>
      </c>
      <c r="AA1" t="s">
        <v>1849</v>
      </c>
      <c r="AB1" t="s">
        <v>1848</v>
      </c>
    </row>
    <row r="2" spans="1:28">
      <c r="A2" s="132" t="s">
        <v>1750</v>
      </c>
      <c r="B2" t="s">
        <v>55</v>
      </c>
      <c r="C2">
        <v>4454893</v>
      </c>
      <c r="D2">
        <v>4454908</v>
      </c>
      <c r="E2" s="112" t="s">
        <v>1847</v>
      </c>
      <c r="F2" t="s">
        <v>1828</v>
      </c>
      <c r="G2" t="s">
        <v>1469</v>
      </c>
      <c r="H2" t="s">
        <v>1470</v>
      </c>
      <c r="I2">
        <v>15</v>
      </c>
      <c r="J2">
        <v>8</v>
      </c>
      <c r="K2" t="s">
        <v>1846</v>
      </c>
      <c r="L2" t="s">
        <v>1845</v>
      </c>
      <c r="M2" t="s">
        <v>1844</v>
      </c>
      <c r="N2" t="s">
        <v>55</v>
      </c>
      <c r="O2">
        <v>4454902</v>
      </c>
      <c r="P2">
        <v>4454925</v>
      </c>
      <c r="Q2">
        <v>9</v>
      </c>
      <c r="R2">
        <v>17</v>
      </c>
      <c r="S2" s="118">
        <v>2.8400000000000001E-9</v>
      </c>
      <c r="T2" t="s">
        <v>1761</v>
      </c>
      <c r="U2" t="s">
        <v>1773</v>
      </c>
      <c r="W2">
        <f>C3-D2</f>
        <v>10</v>
      </c>
      <c r="X2" t="s">
        <v>1781</v>
      </c>
      <c r="Y2" s="117">
        <v>0.3</v>
      </c>
      <c r="Z2" s="117">
        <v>0.33</v>
      </c>
    </row>
    <row r="3" spans="1:28">
      <c r="B3" t="s">
        <v>55</v>
      </c>
      <c r="C3">
        <v>4454918</v>
      </c>
      <c r="D3">
        <v>4454943</v>
      </c>
      <c r="E3" s="112" t="s">
        <v>1843</v>
      </c>
      <c r="F3" t="s">
        <v>1828</v>
      </c>
      <c r="G3" t="s">
        <v>1360</v>
      </c>
      <c r="H3" t="s">
        <v>1361</v>
      </c>
      <c r="I3">
        <v>17</v>
      </c>
      <c r="J3">
        <v>2</v>
      </c>
      <c r="K3" t="s">
        <v>1841</v>
      </c>
      <c r="L3" t="s">
        <v>1840</v>
      </c>
      <c r="M3" t="s">
        <v>419</v>
      </c>
      <c r="N3" t="s">
        <v>55</v>
      </c>
      <c r="O3">
        <v>4454938</v>
      </c>
      <c r="P3">
        <v>4454959</v>
      </c>
      <c r="Q3">
        <v>20</v>
      </c>
      <c r="R3">
        <v>16</v>
      </c>
      <c r="S3" s="118">
        <v>1.21E-30</v>
      </c>
      <c r="T3" t="s">
        <v>1761</v>
      </c>
      <c r="U3" t="s">
        <v>1785</v>
      </c>
    </row>
    <row r="4" spans="1:28">
      <c r="B4" t="s">
        <v>55</v>
      </c>
      <c r="C4">
        <v>4454920</v>
      </c>
      <c r="D4">
        <v>4454946</v>
      </c>
      <c r="E4" s="112" t="s">
        <v>1842</v>
      </c>
      <c r="F4" t="s">
        <v>1828</v>
      </c>
      <c r="G4" t="s">
        <v>1360</v>
      </c>
      <c r="H4" t="s">
        <v>1361</v>
      </c>
      <c r="I4">
        <v>17</v>
      </c>
      <c r="J4">
        <v>2</v>
      </c>
      <c r="K4" t="s">
        <v>1841</v>
      </c>
      <c r="L4" t="s">
        <v>1840</v>
      </c>
      <c r="M4" t="s">
        <v>419</v>
      </c>
      <c r="N4" t="s">
        <v>55</v>
      </c>
      <c r="O4">
        <v>4454938</v>
      </c>
      <c r="P4">
        <v>4454959</v>
      </c>
      <c r="Q4">
        <v>18</v>
      </c>
      <c r="R4">
        <v>13</v>
      </c>
      <c r="S4" s="118">
        <v>1.54E-30</v>
      </c>
      <c r="T4" t="s">
        <v>1761</v>
      </c>
      <c r="U4" t="s">
        <v>1785</v>
      </c>
    </row>
    <row r="5" spans="1:28">
      <c r="A5" s="132" t="s">
        <v>1747</v>
      </c>
      <c r="B5" t="s">
        <v>48</v>
      </c>
      <c r="C5">
        <v>106252266</v>
      </c>
      <c r="D5">
        <v>106252269</v>
      </c>
      <c r="E5" s="112" t="s">
        <v>1839</v>
      </c>
      <c r="F5" t="s">
        <v>1828</v>
      </c>
      <c r="G5" t="s">
        <v>1469</v>
      </c>
      <c r="H5" t="s">
        <v>1470</v>
      </c>
      <c r="I5">
        <v>12</v>
      </c>
      <c r="J5">
        <v>11</v>
      </c>
      <c r="K5" t="s">
        <v>1838</v>
      </c>
      <c r="L5" t="s">
        <v>1837</v>
      </c>
      <c r="M5" t="s">
        <v>419</v>
      </c>
      <c r="N5" t="s">
        <v>48</v>
      </c>
      <c r="O5">
        <v>106252290</v>
      </c>
      <c r="P5">
        <v>106252312</v>
      </c>
      <c r="Q5">
        <v>24</v>
      </c>
      <c r="R5">
        <v>43</v>
      </c>
      <c r="S5">
        <v>3.6918708000000001E-2</v>
      </c>
      <c r="T5" t="s">
        <v>1761</v>
      </c>
      <c r="U5" t="s">
        <v>1773</v>
      </c>
      <c r="V5" t="s">
        <v>1836</v>
      </c>
      <c r="W5">
        <f>C6-D5</f>
        <v>10</v>
      </c>
      <c r="X5" t="s">
        <v>1781</v>
      </c>
      <c r="Y5" s="117">
        <v>0.61</v>
      </c>
      <c r="Z5" s="117">
        <v>0.57999999999999996</v>
      </c>
    </row>
    <row r="6" spans="1:28">
      <c r="B6" t="s">
        <v>48</v>
      </c>
      <c r="C6">
        <v>106252279</v>
      </c>
      <c r="D6">
        <v>106252305</v>
      </c>
      <c r="E6" s="112" t="s">
        <v>1835</v>
      </c>
      <c r="F6" t="s">
        <v>1828</v>
      </c>
      <c r="G6" t="s">
        <v>1360</v>
      </c>
      <c r="H6" t="s">
        <v>1361</v>
      </c>
      <c r="I6">
        <v>16</v>
      </c>
      <c r="J6">
        <v>4</v>
      </c>
      <c r="K6" t="s">
        <v>1834</v>
      </c>
      <c r="L6" t="s">
        <v>1833</v>
      </c>
      <c r="M6" t="s">
        <v>419</v>
      </c>
      <c r="N6" t="s">
        <v>48</v>
      </c>
      <c r="O6">
        <v>106252296</v>
      </c>
      <c r="P6">
        <v>106252318</v>
      </c>
      <c r="Q6">
        <v>17</v>
      </c>
      <c r="R6">
        <v>13</v>
      </c>
      <c r="S6" s="118">
        <v>2.1900000000000001E-9</v>
      </c>
      <c r="T6" t="s">
        <v>1761</v>
      </c>
      <c r="U6" t="s">
        <v>1785</v>
      </c>
    </row>
    <row r="7" spans="1:28">
      <c r="B7" t="s">
        <v>55</v>
      </c>
      <c r="C7">
        <v>151055129</v>
      </c>
      <c r="D7">
        <v>151055159</v>
      </c>
      <c r="E7" s="112" t="s">
        <v>1832</v>
      </c>
      <c r="F7" t="s">
        <v>1828</v>
      </c>
      <c r="G7" t="s">
        <v>1365</v>
      </c>
      <c r="H7" t="s">
        <v>1382</v>
      </c>
      <c r="I7">
        <v>16</v>
      </c>
      <c r="J7">
        <v>4</v>
      </c>
      <c r="K7" t="s">
        <v>1831</v>
      </c>
      <c r="L7" t="s">
        <v>1830</v>
      </c>
      <c r="M7" t="s">
        <v>419</v>
      </c>
      <c r="N7" t="s">
        <v>55</v>
      </c>
      <c r="O7">
        <v>151055116</v>
      </c>
      <c r="P7">
        <v>151055138</v>
      </c>
      <c r="Q7">
        <v>-13</v>
      </c>
      <c r="R7">
        <v>-21</v>
      </c>
      <c r="S7" s="118">
        <v>5.4900000000000004E-50</v>
      </c>
      <c r="T7" t="s">
        <v>1761</v>
      </c>
      <c r="U7" t="s">
        <v>1785</v>
      </c>
    </row>
    <row r="8" spans="1:28">
      <c r="A8" s="135" t="s">
        <v>1745</v>
      </c>
      <c r="B8" t="s">
        <v>55</v>
      </c>
      <c r="C8">
        <v>151055181</v>
      </c>
      <c r="D8">
        <v>151055211</v>
      </c>
      <c r="E8" s="112" t="s">
        <v>1829</v>
      </c>
      <c r="F8" t="s">
        <v>1828</v>
      </c>
      <c r="G8" t="s">
        <v>1576</v>
      </c>
      <c r="H8" t="s">
        <v>1470</v>
      </c>
      <c r="I8">
        <v>15</v>
      </c>
      <c r="J8">
        <v>8</v>
      </c>
      <c r="K8" t="s">
        <v>1827</v>
      </c>
      <c r="L8" t="s">
        <v>1826</v>
      </c>
      <c r="M8" t="s">
        <v>1825</v>
      </c>
      <c r="N8" t="s">
        <v>55</v>
      </c>
      <c r="O8">
        <v>151055162</v>
      </c>
      <c r="P8">
        <v>151055185</v>
      </c>
      <c r="Q8">
        <v>-19</v>
      </c>
      <c r="R8">
        <v>-26</v>
      </c>
      <c r="S8">
        <v>1.09475E-4</v>
      </c>
      <c r="T8" t="s">
        <v>1761</v>
      </c>
      <c r="U8" t="s">
        <v>1773</v>
      </c>
      <c r="W8">
        <f>C8-D7</f>
        <v>22</v>
      </c>
      <c r="X8" t="s">
        <v>1781</v>
      </c>
      <c r="Y8" s="117">
        <v>0.09</v>
      </c>
      <c r="Z8" s="117">
        <v>0.08</v>
      </c>
    </row>
    <row r="9" spans="1:28">
      <c r="B9" t="s">
        <v>46</v>
      </c>
      <c r="C9">
        <v>28181705</v>
      </c>
      <c r="D9">
        <v>28181730</v>
      </c>
      <c r="E9" s="112" t="s">
        <v>1824</v>
      </c>
      <c r="F9" t="s">
        <v>1777</v>
      </c>
      <c r="G9" t="s">
        <v>1365</v>
      </c>
      <c r="H9" t="s">
        <v>1361</v>
      </c>
      <c r="I9">
        <v>14</v>
      </c>
      <c r="J9">
        <v>6</v>
      </c>
      <c r="K9" t="s">
        <v>1823</v>
      </c>
      <c r="L9" t="s">
        <v>1822</v>
      </c>
      <c r="M9" t="s">
        <v>1774</v>
      </c>
      <c r="N9" t="s">
        <v>46</v>
      </c>
      <c r="O9">
        <v>28181693</v>
      </c>
      <c r="P9">
        <v>28181715</v>
      </c>
      <c r="Q9">
        <v>-12</v>
      </c>
      <c r="R9">
        <v>-15</v>
      </c>
      <c r="S9" s="118">
        <v>1.3000000000000001E-9</v>
      </c>
      <c r="T9" t="s">
        <v>1761</v>
      </c>
      <c r="U9" t="s">
        <v>1785</v>
      </c>
    </row>
    <row r="10" spans="1:28">
      <c r="A10" s="135" t="s">
        <v>1741</v>
      </c>
      <c r="B10" t="s">
        <v>46</v>
      </c>
      <c r="C10">
        <v>28181758</v>
      </c>
      <c r="D10">
        <v>28181767</v>
      </c>
      <c r="E10" s="112" t="s">
        <v>1821</v>
      </c>
      <c r="F10" t="s">
        <v>1777</v>
      </c>
      <c r="G10" t="s">
        <v>1576</v>
      </c>
      <c r="H10" t="s">
        <v>1470</v>
      </c>
      <c r="I10">
        <v>10</v>
      </c>
      <c r="J10">
        <v>13</v>
      </c>
      <c r="K10" t="s">
        <v>1820</v>
      </c>
      <c r="L10" t="s">
        <v>1819</v>
      </c>
      <c r="M10" t="s">
        <v>1774</v>
      </c>
      <c r="N10" t="s">
        <v>46</v>
      </c>
      <c r="O10">
        <v>28181741</v>
      </c>
      <c r="P10">
        <v>28181763</v>
      </c>
      <c r="Q10">
        <v>-17</v>
      </c>
      <c r="R10">
        <v>-4</v>
      </c>
      <c r="S10">
        <v>2.1725749999999999E-3</v>
      </c>
      <c r="T10" t="s">
        <v>1761</v>
      </c>
      <c r="U10" t="s">
        <v>1773</v>
      </c>
      <c r="W10">
        <f>C10-D9</f>
        <v>28</v>
      </c>
      <c r="X10" t="s">
        <v>1781</v>
      </c>
      <c r="Y10" s="117">
        <v>0.23</v>
      </c>
      <c r="Z10" s="117">
        <v>0.19</v>
      </c>
      <c r="AA10" t="s">
        <v>1818</v>
      </c>
    </row>
    <row r="11" spans="1:28">
      <c r="B11" t="s">
        <v>56</v>
      </c>
      <c r="C11">
        <v>36668785</v>
      </c>
      <c r="D11">
        <v>36668822</v>
      </c>
      <c r="E11" s="112" t="s">
        <v>1817</v>
      </c>
      <c r="F11" t="s">
        <v>1777</v>
      </c>
      <c r="G11" t="s">
        <v>1365</v>
      </c>
      <c r="H11" t="s">
        <v>1361</v>
      </c>
      <c r="I11">
        <v>15</v>
      </c>
      <c r="J11">
        <v>5</v>
      </c>
      <c r="K11" t="s">
        <v>1816</v>
      </c>
      <c r="L11" t="s">
        <v>1815</v>
      </c>
      <c r="M11" t="s">
        <v>1774</v>
      </c>
      <c r="N11" t="s">
        <v>56</v>
      </c>
      <c r="O11">
        <v>36668773</v>
      </c>
      <c r="P11">
        <v>36668795</v>
      </c>
      <c r="Q11">
        <v>-12</v>
      </c>
      <c r="R11">
        <v>-27</v>
      </c>
      <c r="S11" s="118">
        <v>4.3200000000000003E-33</v>
      </c>
      <c r="T11" t="s">
        <v>1761</v>
      </c>
      <c r="U11" t="s">
        <v>1785</v>
      </c>
    </row>
    <row r="12" spans="1:28">
      <c r="A12" s="133" t="s">
        <v>1738</v>
      </c>
      <c r="B12" t="s">
        <v>56</v>
      </c>
      <c r="C12">
        <v>36668831</v>
      </c>
      <c r="D12">
        <v>36668847</v>
      </c>
      <c r="E12" s="112" t="s">
        <v>1814</v>
      </c>
      <c r="F12" t="s">
        <v>1777</v>
      </c>
      <c r="G12" t="s">
        <v>1365</v>
      </c>
      <c r="H12" t="s">
        <v>1361</v>
      </c>
      <c r="I12">
        <v>11</v>
      </c>
      <c r="J12">
        <v>9</v>
      </c>
      <c r="K12" t="s">
        <v>1813</v>
      </c>
      <c r="L12" t="s">
        <v>1812</v>
      </c>
      <c r="M12" t="s">
        <v>1774</v>
      </c>
      <c r="N12" t="s">
        <v>56</v>
      </c>
      <c r="O12">
        <v>36668850</v>
      </c>
      <c r="P12">
        <v>36668872</v>
      </c>
      <c r="Q12">
        <v>19</v>
      </c>
      <c r="R12">
        <v>25</v>
      </c>
      <c r="S12">
        <v>1.05015E-4</v>
      </c>
      <c r="T12" t="s">
        <v>1761</v>
      </c>
      <c r="U12" t="s">
        <v>1773</v>
      </c>
      <c r="W12">
        <f>C12-D11</f>
        <v>9</v>
      </c>
      <c r="X12" t="s">
        <v>1781</v>
      </c>
      <c r="Y12" s="117">
        <v>0.11</v>
      </c>
      <c r="Z12" s="117">
        <v>0.06</v>
      </c>
      <c r="AA12" t="s">
        <v>1811</v>
      </c>
    </row>
    <row r="13" spans="1:28">
      <c r="A13" s="133" t="s">
        <v>1736</v>
      </c>
      <c r="B13" t="s">
        <v>732</v>
      </c>
      <c r="C13">
        <v>61505442</v>
      </c>
      <c r="D13">
        <v>61505454</v>
      </c>
      <c r="E13" s="112" t="s">
        <v>1810</v>
      </c>
      <c r="F13" t="s">
        <v>1777</v>
      </c>
      <c r="G13" t="s">
        <v>1469</v>
      </c>
      <c r="H13" t="s">
        <v>1470</v>
      </c>
      <c r="I13">
        <v>12</v>
      </c>
      <c r="J13">
        <v>11</v>
      </c>
      <c r="K13" t="s">
        <v>1809</v>
      </c>
      <c r="L13" t="s">
        <v>1808</v>
      </c>
      <c r="M13" t="s">
        <v>1774</v>
      </c>
      <c r="N13" t="s">
        <v>732</v>
      </c>
      <c r="O13">
        <v>61505475</v>
      </c>
      <c r="P13">
        <v>61505497</v>
      </c>
      <c r="Q13">
        <v>33</v>
      </c>
      <c r="R13">
        <v>43</v>
      </c>
      <c r="S13">
        <v>6.2478100000000003E-4</v>
      </c>
      <c r="T13" t="s">
        <v>1761</v>
      </c>
      <c r="U13" t="s">
        <v>1773</v>
      </c>
      <c r="V13" t="s">
        <v>1797</v>
      </c>
      <c r="W13">
        <f>C14-D13</f>
        <v>11</v>
      </c>
      <c r="X13" t="s">
        <v>1781</v>
      </c>
      <c r="Y13" s="117">
        <v>0.16</v>
      </c>
      <c r="Z13" s="117">
        <v>0.16</v>
      </c>
      <c r="AA13" t="s">
        <v>1807</v>
      </c>
    </row>
    <row r="14" spans="1:28">
      <c r="B14" t="s">
        <v>732</v>
      </c>
      <c r="C14">
        <v>61505465</v>
      </c>
      <c r="D14">
        <v>61505501</v>
      </c>
      <c r="E14" s="112" t="s">
        <v>1806</v>
      </c>
      <c r="F14" t="s">
        <v>1777</v>
      </c>
      <c r="G14" t="s">
        <v>1360</v>
      </c>
      <c r="H14" t="s">
        <v>1361</v>
      </c>
      <c r="I14">
        <v>16</v>
      </c>
      <c r="J14">
        <v>4</v>
      </c>
      <c r="K14" t="s">
        <v>1805</v>
      </c>
      <c r="L14" t="s">
        <v>1804</v>
      </c>
      <c r="M14" t="s">
        <v>1774</v>
      </c>
      <c r="N14" t="s">
        <v>732</v>
      </c>
      <c r="O14">
        <v>61505481</v>
      </c>
      <c r="P14">
        <v>61505503</v>
      </c>
      <c r="Q14">
        <v>16</v>
      </c>
      <c r="R14">
        <v>2</v>
      </c>
      <c r="S14" s="118">
        <v>1.27E-17</v>
      </c>
      <c r="T14" t="s">
        <v>1761</v>
      </c>
      <c r="U14" t="s">
        <v>1785</v>
      </c>
    </row>
    <row r="15" spans="1:28">
      <c r="B15" t="s">
        <v>52</v>
      </c>
      <c r="C15">
        <v>69812471</v>
      </c>
      <c r="D15">
        <v>69812486</v>
      </c>
      <c r="E15" s="112" t="s">
        <v>1803</v>
      </c>
      <c r="F15" t="s">
        <v>1777</v>
      </c>
      <c r="G15" t="s">
        <v>1365</v>
      </c>
      <c r="H15" t="s">
        <v>1361</v>
      </c>
      <c r="I15">
        <v>14</v>
      </c>
      <c r="J15">
        <v>6</v>
      </c>
      <c r="K15" t="s">
        <v>1802</v>
      </c>
      <c r="L15" t="s">
        <v>1801</v>
      </c>
      <c r="M15" t="s">
        <v>1774</v>
      </c>
      <c r="N15" t="s">
        <v>52</v>
      </c>
      <c r="O15">
        <v>69812459</v>
      </c>
      <c r="P15">
        <v>69812481</v>
      </c>
      <c r="Q15">
        <v>-12</v>
      </c>
      <c r="R15">
        <v>-5</v>
      </c>
      <c r="S15" s="118">
        <v>2.2700000000000001E-17</v>
      </c>
      <c r="T15" t="s">
        <v>1761</v>
      </c>
      <c r="U15" t="s">
        <v>1785</v>
      </c>
    </row>
    <row r="16" spans="1:28">
      <c r="B16" t="s">
        <v>52</v>
      </c>
      <c r="C16">
        <v>69812503</v>
      </c>
      <c r="D16">
        <v>69812531</v>
      </c>
      <c r="E16" s="112" t="s">
        <v>1800</v>
      </c>
      <c r="F16" t="s">
        <v>1777</v>
      </c>
      <c r="G16" t="s">
        <v>1576</v>
      </c>
      <c r="H16" t="s">
        <v>1470</v>
      </c>
      <c r="I16">
        <v>12</v>
      </c>
      <c r="J16">
        <v>11</v>
      </c>
      <c r="K16" t="s">
        <v>1799</v>
      </c>
      <c r="L16" t="s">
        <v>1798</v>
      </c>
      <c r="M16" t="s">
        <v>1774</v>
      </c>
      <c r="N16" t="s">
        <v>52</v>
      </c>
      <c r="O16">
        <v>69812541</v>
      </c>
      <c r="P16">
        <v>69812563</v>
      </c>
      <c r="Q16">
        <v>38</v>
      </c>
      <c r="R16">
        <v>32</v>
      </c>
      <c r="S16">
        <v>3.57017E-4</v>
      </c>
      <c r="T16" t="s">
        <v>1761</v>
      </c>
      <c r="U16" t="s">
        <v>1773</v>
      </c>
      <c r="V16" t="s">
        <v>1797</v>
      </c>
      <c r="W16">
        <f>C16-D15</f>
        <v>17</v>
      </c>
      <c r="X16" t="s">
        <v>1781</v>
      </c>
      <c r="Y16" s="117">
        <v>0.19</v>
      </c>
      <c r="Z16" s="117">
        <v>0.12</v>
      </c>
      <c r="AA16" t="s">
        <v>1796</v>
      </c>
    </row>
    <row r="17" spans="1:28">
      <c r="A17" s="134" t="s">
        <v>1914</v>
      </c>
      <c r="B17" t="s">
        <v>53</v>
      </c>
      <c r="C17">
        <v>81537121</v>
      </c>
      <c r="D17">
        <v>81537127</v>
      </c>
      <c r="E17" s="112" t="s">
        <v>1795</v>
      </c>
      <c r="F17" t="s">
        <v>1777</v>
      </c>
      <c r="G17" t="s">
        <v>1360</v>
      </c>
      <c r="H17" t="s">
        <v>1361</v>
      </c>
      <c r="I17">
        <v>11</v>
      </c>
      <c r="J17">
        <v>9</v>
      </c>
      <c r="K17" t="s">
        <v>1794</v>
      </c>
      <c r="L17" t="s">
        <v>1793</v>
      </c>
      <c r="M17" t="s">
        <v>1774</v>
      </c>
      <c r="N17" t="s">
        <v>53</v>
      </c>
      <c r="O17">
        <v>81537119</v>
      </c>
      <c r="P17">
        <v>81537141</v>
      </c>
      <c r="Q17">
        <v>-2</v>
      </c>
      <c r="R17">
        <v>14</v>
      </c>
      <c r="S17">
        <v>4.8708393000000003E-2</v>
      </c>
      <c r="T17" t="s">
        <v>1761</v>
      </c>
      <c r="U17" t="s">
        <v>1773</v>
      </c>
      <c r="W17">
        <f>C18-D17</f>
        <v>38</v>
      </c>
      <c r="X17" t="s">
        <v>1781</v>
      </c>
      <c r="Y17" s="117">
        <v>0.05</v>
      </c>
      <c r="Z17" s="117">
        <v>0.03</v>
      </c>
      <c r="AA17" t="s">
        <v>1792</v>
      </c>
    </row>
    <row r="18" spans="1:28">
      <c r="B18" t="s">
        <v>53</v>
      </c>
      <c r="C18">
        <v>81537165</v>
      </c>
      <c r="D18">
        <v>81537172</v>
      </c>
      <c r="E18" s="112" t="s">
        <v>1791</v>
      </c>
      <c r="F18" t="s">
        <v>1777</v>
      </c>
      <c r="G18" t="s">
        <v>1360</v>
      </c>
      <c r="H18" t="s">
        <v>1361</v>
      </c>
      <c r="I18">
        <v>17</v>
      </c>
      <c r="J18">
        <v>3</v>
      </c>
      <c r="K18" t="s">
        <v>1790</v>
      </c>
      <c r="L18" t="s">
        <v>1789</v>
      </c>
      <c r="M18" t="s">
        <v>1774</v>
      </c>
      <c r="N18" t="s">
        <v>53</v>
      </c>
      <c r="O18">
        <v>81537162</v>
      </c>
      <c r="P18">
        <v>81537184</v>
      </c>
      <c r="Q18">
        <v>-3</v>
      </c>
      <c r="R18">
        <v>12</v>
      </c>
      <c r="S18" s="118">
        <v>3.3299999999999998E-70</v>
      </c>
      <c r="T18" t="s">
        <v>1761</v>
      </c>
      <c r="U18" t="s">
        <v>1785</v>
      </c>
    </row>
    <row r="19" spans="1:28">
      <c r="B19" t="s">
        <v>52</v>
      </c>
      <c r="C19">
        <v>101478718</v>
      </c>
      <c r="D19">
        <v>101478729</v>
      </c>
      <c r="E19" s="112" t="s">
        <v>1788</v>
      </c>
      <c r="F19" t="s">
        <v>1777</v>
      </c>
      <c r="G19" t="s">
        <v>1365</v>
      </c>
      <c r="H19" t="s">
        <v>1361</v>
      </c>
      <c r="I19">
        <v>17</v>
      </c>
      <c r="J19">
        <v>3</v>
      </c>
      <c r="K19" t="s">
        <v>1787</v>
      </c>
      <c r="L19" t="s">
        <v>1786</v>
      </c>
      <c r="M19" t="s">
        <v>1774</v>
      </c>
      <c r="N19" t="s">
        <v>52</v>
      </c>
      <c r="O19">
        <v>101478693</v>
      </c>
      <c r="P19">
        <v>101478715</v>
      </c>
      <c r="Q19">
        <v>-25</v>
      </c>
      <c r="R19">
        <v>-14</v>
      </c>
      <c r="S19" s="118">
        <v>7.2699999999999999E-9</v>
      </c>
      <c r="T19" t="s">
        <v>1761</v>
      </c>
      <c r="U19" t="s">
        <v>1785</v>
      </c>
    </row>
    <row r="20" spans="1:28">
      <c r="A20" s="135" t="s">
        <v>1728</v>
      </c>
      <c r="B20" t="s">
        <v>52</v>
      </c>
      <c r="C20">
        <v>101478878</v>
      </c>
      <c r="D20">
        <v>101478902</v>
      </c>
      <c r="E20" s="112" t="s">
        <v>1784</v>
      </c>
      <c r="F20" t="s">
        <v>1777</v>
      </c>
      <c r="G20" t="s">
        <v>1576</v>
      </c>
      <c r="H20" t="s">
        <v>1470</v>
      </c>
      <c r="I20">
        <v>12</v>
      </c>
      <c r="J20">
        <v>11</v>
      </c>
      <c r="K20" t="s">
        <v>1783</v>
      </c>
      <c r="L20" t="s">
        <v>1782</v>
      </c>
      <c r="M20" t="s">
        <v>1774</v>
      </c>
      <c r="N20" t="s">
        <v>52</v>
      </c>
      <c r="O20">
        <v>101478886</v>
      </c>
      <c r="P20">
        <v>101478908</v>
      </c>
      <c r="Q20">
        <v>8</v>
      </c>
      <c r="R20">
        <v>6</v>
      </c>
      <c r="S20">
        <v>2.7869571999999999E-2</v>
      </c>
      <c r="T20" t="s">
        <v>1761</v>
      </c>
      <c r="U20" t="s">
        <v>1773</v>
      </c>
      <c r="W20">
        <f>C20-D19</f>
        <v>149</v>
      </c>
      <c r="X20" t="s">
        <v>1781</v>
      </c>
      <c r="Y20" s="117">
        <v>0.11</v>
      </c>
      <c r="Z20" s="117">
        <v>0.11</v>
      </c>
      <c r="AA20" t="s">
        <v>1780</v>
      </c>
      <c r="AB20" t="s">
        <v>1779</v>
      </c>
    </row>
    <row r="21" spans="1:28">
      <c r="A21" s="137" t="s">
        <v>1722</v>
      </c>
      <c r="B21" t="s">
        <v>55</v>
      </c>
      <c r="C21">
        <v>160046601</v>
      </c>
      <c r="D21">
        <v>160046607</v>
      </c>
      <c r="E21" s="112" t="s">
        <v>1778</v>
      </c>
      <c r="F21" t="s">
        <v>1777</v>
      </c>
      <c r="G21" t="s">
        <v>1365</v>
      </c>
      <c r="H21" t="s">
        <v>1361</v>
      </c>
      <c r="I21">
        <v>15</v>
      </c>
      <c r="J21">
        <v>2</v>
      </c>
      <c r="K21" t="s">
        <v>1776</v>
      </c>
      <c r="L21" s="105" t="s">
        <v>1775</v>
      </c>
      <c r="M21" t="s">
        <v>1774</v>
      </c>
      <c r="N21" t="s">
        <v>55</v>
      </c>
      <c r="O21">
        <v>160046592</v>
      </c>
      <c r="P21">
        <v>160046611</v>
      </c>
      <c r="Q21">
        <v>-9</v>
      </c>
      <c r="R21">
        <v>4</v>
      </c>
      <c r="S21">
        <v>1.2504148E-2</v>
      </c>
      <c r="T21" t="s">
        <v>1761</v>
      </c>
      <c r="U21" t="s">
        <v>1773</v>
      </c>
      <c r="W21" t="s">
        <v>259</v>
      </c>
      <c r="Y21" s="117">
        <v>0.81</v>
      </c>
      <c r="Z21" s="117">
        <v>0.94</v>
      </c>
      <c r="AA21" t="s">
        <v>1772</v>
      </c>
    </row>
    <row r="22" spans="1:28">
      <c r="B22" t="s">
        <v>44</v>
      </c>
      <c r="C22">
        <v>86488541</v>
      </c>
      <c r="D22">
        <v>86488571</v>
      </c>
      <c r="E22" s="112" t="s">
        <v>1771</v>
      </c>
      <c r="F22" t="s">
        <v>1758</v>
      </c>
      <c r="G22" t="s">
        <v>1360</v>
      </c>
      <c r="H22" t="s">
        <v>1382</v>
      </c>
      <c r="I22">
        <v>12</v>
      </c>
      <c r="J22" s="112">
        <v>8</v>
      </c>
      <c r="K22" t="s">
        <v>1770</v>
      </c>
      <c r="L22" t="s">
        <v>1769</v>
      </c>
      <c r="M22" t="s">
        <v>255</v>
      </c>
      <c r="N22" t="s">
        <v>44</v>
      </c>
      <c r="O22">
        <v>86488546</v>
      </c>
      <c r="P22">
        <v>86488568</v>
      </c>
      <c r="Q22">
        <v>5</v>
      </c>
      <c r="R22">
        <v>-3</v>
      </c>
      <c r="S22" s="118">
        <v>1.11E-7</v>
      </c>
      <c r="T22" t="s">
        <v>1761</v>
      </c>
      <c r="U22" t="s">
        <v>1756</v>
      </c>
      <c r="W22" t="s">
        <v>1755</v>
      </c>
      <c r="Y22" s="117">
        <v>0.87</v>
      </c>
      <c r="Z22" s="117">
        <v>0.88</v>
      </c>
      <c r="AA22" t="s">
        <v>1768</v>
      </c>
    </row>
    <row r="23" spans="1:28">
      <c r="B23" t="s">
        <v>855</v>
      </c>
      <c r="C23">
        <v>14132373</v>
      </c>
      <c r="D23">
        <v>14132415</v>
      </c>
      <c r="E23" s="112" t="s">
        <v>1767</v>
      </c>
      <c r="F23" t="s">
        <v>1758</v>
      </c>
      <c r="G23" t="s">
        <v>1360</v>
      </c>
      <c r="H23" t="s">
        <v>1361</v>
      </c>
      <c r="I23">
        <v>12</v>
      </c>
      <c r="J23" s="112">
        <v>8</v>
      </c>
      <c r="K23" t="s">
        <v>1766</v>
      </c>
      <c r="L23" t="s">
        <v>1765</v>
      </c>
      <c r="M23" t="s">
        <v>255</v>
      </c>
      <c r="N23" t="s">
        <v>855</v>
      </c>
      <c r="O23">
        <v>14132400</v>
      </c>
      <c r="P23">
        <v>14132422</v>
      </c>
      <c r="Q23">
        <v>27</v>
      </c>
      <c r="R23">
        <v>7</v>
      </c>
      <c r="S23" s="118">
        <v>1.49E-9</v>
      </c>
      <c r="T23" t="s">
        <v>1761</v>
      </c>
      <c r="U23" t="s">
        <v>1756</v>
      </c>
      <c r="W23" t="s">
        <v>1755</v>
      </c>
      <c r="Y23" s="117">
        <v>0.47</v>
      </c>
      <c r="Z23" s="117">
        <v>0.46</v>
      </c>
      <c r="AA23" t="s">
        <v>1764</v>
      </c>
      <c r="AB23" t="s">
        <v>1763</v>
      </c>
    </row>
    <row r="24" spans="1:28">
      <c r="B24" t="s">
        <v>732</v>
      </c>
      <c r="C24">
        <v>58572565</v>
      </c>
      <c r="D24">
        <v>58572578</v>
      </c>
      <c r="E24" s="112" t="s">
        <v>1762</v>
      </c>
      <c r="F24" t="s">
        <v>1758</v>
      </c>
      <c r="G24" t="s">
        <v>1360</v>
      </c>
      <c r="H24" t="s">
        <v>1361</v>
      </c>
      <c r="I24">
        <v>13</v>
      </c>
      <c r="J24" s="112">
        <v>7</v>
      </c>
      <c r="K24" t="s">
        <v>1464</v>
      </c>
      <c r="L24" t="s">
        <v>1465</v>
      </c>
      <c r="M24" t="s">
        <v>255</v>
      </c>
      <c r="N24" t="s">
        <v>732</v>
      </c>
      <c r="O24">
        <v>58572563</v>
      </c>
      <c r="P24">
        <v>58572585</v>
      </c>
      <c r="Q24">
        <v>-2</v>
      </c>
      <c r="R24">
        <v>7</v>
      </c>
      <c r="S24">
        <v>1.0940359E-2</v>
      </c>
      <c r="T24" t="s">
        <v>1761</v>
      </c>
      <c r="U24" t="s">
        <v>1756</v>
      </c>
      <c r="W24" t="s">
        <v>1755</v>
      </c>
      <c r="Y24" s="117">
        <v>0.35</v>
      </c>
      <c r="Z24" s="117">
        <v>0.36</v>
      </c>
      <c r="AA24" t="s">
        <v>1760</v>
      </c>
    </row>
    <row r="25" spans="1:28">
      <c r="B25" t="s">
        <v>54</v>
      </c>
      <c r="C25">
        <v>22466320</v>
      </c>
      <c r="D25">
        <v>22466365</v>
      </c>
      <c r="E25" s="112" t="s">
        <v>1759</v>
      </c>
      <c r="F25" t="s">
        <v>1758</v>
      </c>
      <c r="G25" t="s">
        <v>1469</v>
      </c>
      <c r="H25" t="s">
        <v>1470</v>
      </c>
      <c r="I25">
        <v>15</v>
      </c>
      <c r="J25" s="112">
        <v>8</v>
      </c>
      <c r="K25" t="s">
        <v>1472</v>
      </c>
      <c r="L25" t="s">
        <v>1473</v>
      </c>
      <c r="M25" t="s">
        <v>255</v>
      </c>
      <c r="N25" t="s">
        <v>54</v>
      </c>
      <c r="O25">
        <v>22466319</v>
      </c>
      <c r="P25">
        <v>22466341</v>
      </c>
      <c r="Q25">
        <v>-1</v>
      </c>
      <c r="R25">
        <v>-24</v>
      </c>
      <c r="S25" s="118">
        <v>2.3299999999999998E-22</v>
      </c>
      <c r="T25" t="s">
        <v>1757</v>
      </c>
      <c r="U25" t="s">
        <v>1756</v>
      </c>
      <c r="W25" t="s">
        <v>1755</v>
      </c>
      <c r="AB25" t="s">
        <v>1754</v>
      </c>
    </row>
    <row r="26" spans="1:28">
      <c r="J26" s="112"/>
    </row>
    <row r="27" spans="1:28">
      <c r="J27" s="112"/>
      <c r="Y27" s="117"/>
      <c r="Z27" s="117"/>
    </row>
    <row r="28" spans="1:28" ht="17">
      <c r="B28" t="s">
        <v>59</v>
      </c>
      <c r="C28" t="s">
        <v>60</v>
      </c>
      <c r="D28" t="s">
        <v>61</v>
      </c>
      <c r="E28" t="s">
        <v>62</v>
      </c>
      <c r="F28" t="s">
        <v>63</v>
      </c>
      <c r="G28" t="s">
        <v>64</v>
      </c>
      <c r="H28" t="s">
        <v>65</v>
      </c>
      <c r="I28" t="s">
        <v>66</v>
      </c>
      <c r="J28" t="s">
        <v>1753</v>
      </c>
      <c r="K28" t="s">
        <v>1752</v>
      </c>
      <c r="L28" t="s">
        <v>1751</v>
      </c>
      <c r="P28" s="3" t="s">
        <v>85</v>
      </c>
      <c r="Q28" s="3" t="s">
        <v>86</v>
      </c>
      <c r="R28" s="3" t="s">
        <v>87</v>
      </c>
      <c r="S28" s="3" t="s">
        <v>88</v>
      </c>
      <c r="T28" s="3" t="s">
        <v>89</v>
      </c>
    </row>
    <row r="29" spans="1:28" ht="18">
      <c r="B29" t="s">
        <v>55</v>
      </c>
      <c r="C29">
        <v>4454893</v>
      </c>
      <c r="D29">
        <v>4454908</v>
      </c>
      <c r="E29" s="112" t="s">
        <v>1750</v>
      </c>
      <c r="F29">
        <v>4</v>
      </c>
      <c r="G29">
        <v>6</v>
      </c>
      <c r="H29" s="2" t="s">
        <v>1748</v>
      </c>
      <c r="I29" s="2" t="s">
        <v>1746</v>
      </c>
      <c r="J29" s="110">
        <v>4454836</v>
      </c>
      <c r="K29" s="110">
        <v>4455002</v>
      </c>
      <c r="L29">
        <f>K29-J29+1</f>
        <v>167</v>
      </c>
      <c r="M29" t="s">
        <v>1749</v>
      </c>
      <c r="N29" t="s">
        <v>1859</v>
      </c>
      <c r="O29" s="2" t="s">
        <v>1748</v>
      </c>
      <c r="P29" s="2">
        <v>22</v>
      </c>
      <c r="Q29" s="2">
        <v>58.9</v>
      </c>
      <c r="R29" s="2">
        <v>45.45</v>
      </c>
      <c r="S29" s="2">
        <v>3</v>
      </c>
      <c r="T29" s="2">
        <v>2</v>
      </c>
    </row>
    <row r="30" spans="1:28" ht="18">
      <c r="B30" t="s">
        <v>48</v>
      </c>
      <c r="C30">
        <v>106252266</v>
      </c>
      <c r="D30">
        <v>106252269</v>
      </c>
      <c r="E30" s="112" t="s">
        <v>1747</v>
      </c>
      <c r="F30">
        <v>4</v>
      </c>
      <c r="G30">
        <v>6</v>
      </c>
      <c r="H30" s="2" t="s">
        <v>1743</v>
      </c>
      <c r="I30" s="2" t="s">
        <v>1742</v>
      </c>
      <c r="J30" s="110">
        <v>106252179</v>
      </c>
      <c r="K30" s="110">
        <v>106252360</v>
      </c>
      <c r="L30">
        <f>K30-J30+1</f>
        <v>182</v>
      </c>
      <c r="M30" t="s">
        <v>1902</v>
      </c>
      <c r="N30" t="s">
        <v>1860</v>
      </c>
      <c r="O30" s="2" t="s">
        <v>1746</v>
      </c>
      <c r="P30" s="2">
        <v>22</v>
      </c>
      <c r="Q30" s="2">
        <v>59.9</v>
      </c>
      <c r="R30" s="2">
        <v>54.55</v>
      </c>
      <c r="S30" s="2">
        <v>2</v>
      </c>
      <c r="T30" s="2">
        <v>0</v>
      </c>
    </row>
    <row r="31" spans="1:28" ht="18">
      <c r="B31" t="s">
        <v>55</v>
      </c>
      <c r="C31">
        <v>151055181</v>
      </c>
      <c r="D31">
        <v>151055211</v>
      </c>
      <c r="E31" s="137" t="s">
        <v>1745</v>
      </c>
      <c r="F31">
        <v>4</v>
      </c>
      <c r="G31">
        <v>6</v>
      </c>
      <c r="H31" s="2" t="s">
        <v>1739</v>
      </c>
      <c r="I31" s="2" t="s">
        <v>1737</v>
      </c>
      <c r="J31" s="110">
        <v>151055050</v>
      </c>
      <c r="K31" s="110">
        <v>151055282</v>
      </c>
      <c r="L31">
        <f>K31-J31+1</f>
        <v>233</v>
      </c>
      <c r="M31" t="s">
        <v>1744</v>
      </c>
      <c r="N31" t="s">
        <v>1861</v>
      </c>
      <c r="O31" s="2" t="s">
        <v>1743</v>
      </c>
      <c r="P31" s="2">
        <v>22</v>
      </c>
      <c r="Q31" s="2">
        <v>59.5</v>
      </c>
      <c r="R31" s="2">
        <v>50</v>
      </c>
      <c r="S31" s="2">
        <v>4</v>
      </c>
      <c r="T31" s="2">
        <v>0</v>
      </c>
    </row>
    <row r="32" spans="1:28" ht="17">
      <c r="M32" t="s">
        <v>1903</v>
      </c>
      <c r="N32" t="s">
        <v>1862</v>
      </c>
      <c r="O32" s="2" t="s">
        <v>1742</v>
      </c>
      <c r="P32" s="2">
        <v>24</v>
      </c>
      <c r="Q32" s="2">
        <v>59.71</v>
      </c>
      <c r="R32" s="2">
        <v>41.67</v>
      </c>
      <c r="S32" s="2">
        <v>5</v>
      </c>
      <c r="T32" s="2">
        <v>0</v>
      </c>
    </row>
    <row r="33" spans="1:20" ht="18">
      <c r="B33" t="s">
        <v>46</v>
      </c>
      <c r="C33">
        <v>28181758</v>
      </c>
      <c r="D33">
        <v>28181767</v>
      </c>
      <c r="E33" s="140" t="s">
        <v>1741</v>
      </c>
      <c r="F33">
        <v>4</v>
      </c>
      <c r="G33">
        <v>6</v>
      </c>
      <c r="H33" s="2" t="s">
        <v>1734</v>
      </c>
      <c r="I33" s="2" t="s">
        <v>1732</v>
      </c>
      <c r="J33" s="110">
        <v>28181635</v>
      </c>
      <c r="K33" s="110">
        <v>28181876</v>
      </c>
      <c r="L33">
        <f>K33-J33+1</f>
        <v>242</v>
      </c>
      <c r="M33" t="s">
        <v>1740</v>
      </c>
      <c r="N33" t="s">
        <v>1863</v>
      </c>
      <c r="O33" s="2" t="s">
        <v>1739</v>
      </c>
      <c r="P33" s="2">
        <v>22</v>
      </c>
      <c r="Q33" s="2">
        <v>60.55</v>
      </c>
      <c r="R33" s="2">
        <v>50</v>
      </c>
      <c r="S33" s="2">
        <v>5</v>
      </c>
      <c r="T33" s="2">
        <v>2</v>
      </c>
    </row>
    <row r="34" spans="1:20" ht="18">
      <c r="B34" t="s">
        <v>56</v>
      </c>
      <c r="C34">
        <v>36668831</v>
      </c>
      <c r="D34">
        <v>36668847</v>
      </c>
      <c r="E34" s="139" t="s">
        <v>1738</v>
      </c>
      <c r="F34">
        <v>4</v>
      </c>
      <c r="G34">
        <v>6</v>
      </c>
      <c r="H34" s="2" t="s">
        <v>1729</v>
      </c>
      <c r="I34" s="2" t="s">
        <v>1726</v>
      </c>
      <c r="J34" s="110">
        <v>36668727</v>
      </c>
      <c r="K34" s="110">
        <v>36668948</v>
      </c>
      <c r="L34">
        <f>K34-J34+1</f>
        <v>222</v>
      </c>
      <c r="M34" t="s">
        <v>1904</v>
      </c>
      <c r="N34" t="s">
        <v>1864</v>
      </c>
      <c r="O34" s="2" t="s">
        <v>1737</v>
      </c>
      <c r="P34" s="2">
        <v>22</v>
      </c>
      <c r="Q34" s="2">
        <v>60.03</v>
      </c>
      <c r="R34" s="2">
        <v>45.45</v>
      </c>
      <c r="S34" s="2">
        <v>4</v>
      </c>
      <c r="T34" s="2">
        <v>2</v>
      </c>
    </row>
    <row r="35" spans="1:20" ht="18">
      <c r="B35" t="s">
        <v>732</v>
      </c>
      <c r="C35">
        <v>61505442</v>
      </c>
      <c r="D35">
        <v>61505454</v>
      </c>
      <c r="E35" s="139" t="s">
        <v>1736</v>
      </c>
      <c r="F35">
        <v>6</v>
      </c>
      <c r="G35">
        <v>4</v>
      </c>
      <c r="H35" s="2" t="s">
        <v>1723</v>
      </c>
      <c r="I35" s="2" t="s">
        <v>1720</v>
      </c>
      <c r="J35" s="110">
        <v>61505391</v>
      </c>
      <c r="K35" s="110">
        <v>61505566</v>
      </c>
      <c r="L35">
        <f>K35-J35+1</f>
        <v>176</v>
      </c>
      <c r="M35" t="s">
        <v>1735</v>
      </c>
      <c r="N35" t="s">
        <v>1865</v>
      </c>
      <c r="O35" s="2" t="s">
        <v>1734</v>
      </c>
      <c r="P35" s="2">
        <v>22</v>
      </c>
      <c r="Q35" s="2">
        <v>57.01</v>
      </c>
      <c r="R35" s="2">
        <v>40.909999999999997</v>
      </c>
      <c r="S35" s="2">
        <v>4</v>
      </c>
      <c r="T35" s="2">
        <v>2</v>
      </c>
    </row>
    <row r="36" spans="1:20" ht="17">
      <c r="B36" t="s">
        <v>52</v>
      </c>
      <c r="C36">
        <v>69812503</v>
      </c>
      <c r="D36">
        <v>69812531</v>
      </c>
      <c r="M36" t="s">
        <v>1733</v>
      </c>
      <c r="N36" t="s">
        <v>1866</v>
      </c>
      <c r="O36" s="2" t="s">
        <v>1732</v>
      </c>
      <c r="P36" s="2">
        <v>24</v>
      </c>
      <c r="Q36" s="2">
        <v>57.42</v>
      </c>
      <c r="R36" s="2">
        <v>37.5</v>
      </c>
      <c r="S36" s="2">
        <v>6</v>
      </c>
      <c r="T36" s="2">
        <v>4</v>
      </c>
    </row>
    <row r="37" spans="1:20" ht="18">
      <c r="B37" t="s">
        <v>53</v>
      </c>
      <c r="C37">
        <v>81537121</v>
      </c>
      <c r="D37">
        <v>81537127</v>
      </c>
      <c r="E37" s="138" t="s">
        <v>1731</v>
      </c>
      <c r="F37">
        <v>4</v>
      </c>
      <c r="G37">
        <v>6</v>
      </c>
      <c r="H37" s="2" t="s">
        <v>1718</v>
      </c>
      <c r="I37" s="2" t="s">
        <v>1715</v>
      </c>
      <c r="J37" s="110">
        <v>81537062</v>
      </c>
      <c r="K37" s="110">
        <v>81537269</v>
      </c>
      <c r="L37">
        <f>K37-J37+1</f>
        <v>208</v>
      </c>
      <c r="M37" t="s">
        <v>1730</v>
      </c>
      <c r="N37" t="s">
        <v>1867</v>
      </c>
      <c r="O37" s="2" t="s">
        <v>1729</v>
      </c>
      <c r="P37" s="2">
        <v>22</v>
      </c>
      <c r="Q37" s="2">
        <v>59.83</v>
      </c>
      <c r="R37" s="2">
        <v>45.45</v>
      </c>
      <c r="S37" s="2">
        <v>4</v>
      </c>
      <c r="T37" s="2">
        <v>0</v>
      </c>
    </row>
    <row r="38" spans="1:20" ht="18">
      <c r="B38" t="s">
        <v>52</v>
      </c>
      <c r="C38">
        <v>101478878</v>
      </c>
      <c r="D38">
        <v>101478902</v>
      </c>
      <c r="E38" s="137" t="s">
        <v>1728</v>
      </c>
      <c r="F38">
        <v>4</v>
      </c>
      <c r="G38">
        <v>6</v>
      </c>
      <c r="H38" s="2" t="s">
        <v>1712</v>
      </c>
      <c r="I38" s="2" t="s">
        <v>1710</v>
      </c>
      <c r="J38" s="110">
        <v>101478780</v>
      </c>
      <c r="K38" s="110">
        <v>101478974</v>
      </c>
      <c r="L38">
        <f>K38-J38+1</f>
        <v>195</v>
      </c>
      <c r="M38" t="s">
        <v>1727</v>
      </c>
      <c r="N38" t="s">
        <v>1868</v>
      </c>
      <c r="O38" s="2" t="s">
        <v>1726</v>
      </c>
      <c r="P38" s="2">
        <v>23</v>
      </c>
      <c r="Q38" s="2">
        <v>58.54</v>
      </c>
      <c r="R38" s="2">
        <v>39.130000000000003</v>
      </c>
      <c r="S38" s="2">
        <v>5</v>
      </c>
      <c r="T38" s="2">
        <v>2</v>
      </c>
    </row>
    <row r="39" spans="1:20" ht="18">
      <c r="A39" t="s">
        <v>1929</v>
      </c>
      <c r="B39" t="s">
        <v>52</v>
      </c>
      <c r="C39">
        <v>101478718</v>
      </c>
      <c r="D39">
        <v>101478729</v>
      </c>
      <c r="E39" s="136" t="s">
        <v>1725</v>
      </c>
      <c r="F39">
        <v>4</v>
      </c>
      <c r="G39">
        <v>6</v>
      </c>
      <c r="H39" s="2" t="s">
        <v>1708</v>
      </c>
      <c r="I39" s="2" t="s">
        <v>1706</v>
      </c>
      <c r="J39" s="110">
        <v>101478592</v>
      </c>
      <c r="K39" s="110">
        <v>101478797</v>
      </c>
      <c r="L39">
        <f>K39-J39+1</f>
        <v>206</v>
      </c>
      <c r="M39" t="s">
        <v>1724</v>
      </c>
      <c r="N39" t="s">
        <v>1869</v>
      </c>
      <c r="O39" s="2" t="s">
        <v>1723</v>
      </c>
      <c r="P39" s="2">
        <v>24</v>
      </c>
      <c r="Q39" s="2">
        <v>58.18</v>
      </c>
      <c r="R39" s="2">
        <v>37.5</v>
      </c>
      <c r="S39" s="2">
        <v>4</v>
      </c>
      <c r="T39" s="2">
        <v>3</v>
      </c>
    </row>
    <row r="40" spans="1:20" ht="18">
      <c r="B40" t="s">
        <v>55</v>
      </c>
      <c r="C40">
        <v>160046601</v>
      </c>
      <c r="D40">
        <v>160046607</v>
      </c>
      <c r="E40" s="137" t="s">
        <v>1722</v>
      </c>
      <c r="F40">
        <v>6</v>
      </c>
      <c r="G40">
        <v>4</v>
      </c>
      <c r="H40" s="2" t="s">
        <v>1704</v>
      </c>
      <c r="I40" s="2" t="s">
        <v>1702</v>
      </c>
      <c r="J40" s="110">
        <v>160046528</v>
      </c>
      <c r="K40" s="110">
        <v>160046756</v>
      </c>
      <c r="L40">
        <f>K40-J40+1</f>
        <v>229</v>
      </c>
      <c r="M40" t="s">
        <v>1721</v>
      </c>
      <c r="N40" t="s">
        <v>1870</v>
      </c>
      <c r="O40" s="2" t="s">
        <v>1720</v>
      </c>
      <c r="P40" s="2">
        <v>21</v>
      </c>
      <c r="Q40" s="2">
        <v>59.29</v>
      </c>
      <c r="R40" s="2">
        <v>52.38</v>
      </c>
      <c r="S40" s="2">
        <v>4</v>
      </c>
      <c r="T40" s="2">
        <v>3</v>
      </c>
    </row>
    <row r="41" spans="1:20" ht="17">
      <c r="M41" t="s">
        <v>1719</v>
      </c>
      <c r="N41" t="s">
        <v>1871</v>
      </c>
      <c r="O41" s="2" t="s">
        <v>1718</v>
      </c>
      <c r="P41" s="2">
        <v>20</v>
      </c>
      <c r="Q41" s="2">
        <v>61.08</v>
      </c>
      <c r="R41" s="2">
        <v>60</v>
      </c>
      <c r="S41" s="2">
        <v>6</v>
      </c>
      <c r="T41" s="2">
        <v>3</v>
      </c>
    </row>
    <row r="42" spans="1:20" ht="18">
      <c r="B42" t="s">
        <v>44</v>
      </c>
      <c r="C42">
        <v>86488541</v>
      </c>
      <c r="D42">
        <v>86488571</v>
      </c>
      <c r="E42" s="112" t="s">
        <v>1717</v>
      </c>
      <c r="F42">
        <v>6</v>
      </c>
      <c r="G42">
        <v>4</v>
      </c>
      <c r="H42" s="2" t="s">
        <v>1700</v>
      </c>
      <c r="I42" s="2" t="s">
        <v>1698</v>
      </c>
      <c r="J42" s="110">
        <v>86488486</v>
      </c>
      <c r="K42" s="110">
        <v>86488659</v>
      </c>
      <c r="L42">
        <f>K42-J42+1</f>
        <v>174</v>
      </c>
      <c r="M42" t="s">
        <v>1716</v>
      </c>
      <c r="N42" t="s">
        <v>1872</v>
      </c>
      <c r="O42" s="2" t="s">
        <v>1715</v>
      </c>
      <c r="P42" s="2">
        <v>20</v>
      </c>
      <c r="Q42" s="2">
        <v>60.04</v>
      </c>
      <c r="R42" s="2">
        <v>60</v>
      </c>
      <c r="S42" s="2">
        <v>2</v>
      </c>
      <c r="T42" s="2">
        <v>0</v>
      </c>
    </row>
    <row r="43" spans="1:20" ht="18">
      <c r="B43" t="s">
        <v>855</v>
      </c>
      <c r="C43">
        <v>14132373</v>
      </c>
      <c r="D43">
        <v>14132415</v>
      </c>
      <c r="E43" s="112" t="s">
        <v>1714</v>
      </c>
      <c r="F43">
        <v>6</v>
      </c>
      <c r="G43">
        <v>4</v>
      </c>
      <c r="H43" s="2" t="s">
        <v>1696</v>
      </c>
      <c r="I43" s="2" t="s">
        <v>1694</v>
      </c>
      <c r="J43" s="110">
        <v>14132309</v>
      </c>
      <c r="K43" s="110">
        <v>14132536</v>
      </c>
      <c r="L43">
        <f>K43-J43+1</f>
        <v>228</v>
      </c>
      <c r="M43" t="s">
        <v>1713</v>
      </c>
      <c r="N43" t="s">
        <v>1873</v>
      </c>
      <c r="O43" s="2" t="s">
        <v>1712</v>
      </c>
      <c r="P43" s="2">
        <v>22</v>
      </c>
      <c r="Q43" s="2">
        <v>60.16</v>
      </c>
      <c r="R43" s="2">
        <v>50</v>
      </c>
      <c r="S43" s="2">
        <v>2</v>
      </c>
      <c r="T43" s="2">
        <v>2</v>
      </c>
    </row>
    <row r="44" spans="1:20" ht="17">
      <c r="B44" t="s">
        <v>732</v>
      </c>
      <c r="C44">
        <v>58572565</v>
      </c>
      <c r="D44">
        <v>58572578</v>
      </c>
      <c r="M44" t="s">
        <v>1711</v>
      </c>
      <c r="N44" t="s">
        <v>1874</v>
      </c>
      <c r="O44" s="2" t="s">
        <v>1710</v>
      </c>
      <c r="P44" s="2">
        <v>22</v>
      </c>
      <c r="Q44" s="2">
        <v>60.16</v>
      </c>
      <c r="R44" s="2">
        <v>50</v>
      </c>
      <c r="S44" s="2">
        <v>4</v>
      </c>
      <c r="T44" s="2">
        <v>4</v>
      </c>
    </row>
    <row r="45" spans="1:20" ht="17">
      <c r="M45" t="s">
        <v>1709</v>
      </c>
      <c r="N45" t="s">
        <v>1875</v>
      </c>
      <c r="O45" s="2" t="s">
        <v>1708</v>
      </c>
      <c r="P45" s="2">
        <v>22</v>
      </c>
      <c r="Q45" s="2">
        <v>60.75</v>
      </c>
      <c r="R45" s="2">
        <v>50</v>
      </c>
      <c r="S45" s="2">
        <v>5</v>
      </c>
      <c r="T45" s="2">
        <v>0</v>
      </c>
    </row>
    <row r="46" spans="1:20" ht="17">
      <c r="M46" t="s">
        <v>1707</v>
      </c>
      <c r="N46" t="s">
        <v>1876</v>
      </c>
      <c r="O46" s="2" t="s">
        <v>1706</v>
      </c>
      <c r="P46" s="2">
        <v>22</v>
      </c>
      <c r="Q46" s="2">
        <v>59.5</v>
      </c>
      <c r="R46" s="2">
        <v>50</v>
      </c>
      <c r="S46" s="2">
        <v>3</v>
      </c>
      <c r="T46" s="2">
        <v>3</v>
      </c>
    </row>
    <row r="47" spans="1:20" ht="17">
      <c r="M47" t="s">
        <v>1705</v>
      </c>
      <c r="N47" t="s">
        <v>1877</v>
      </c>
      <c r="O47" s="2" t="s">
        <v>1704</v>
      </c>
      <c r="P47" s="2">
        <v>24</v>
      </c>
      <c r="Q47" s="2">
        <v>61.9</v>
      </c>
      <c r="R47" s="2">
        <v>50</v>
      </c>
      <c r="S47" s="2">
        <v>4</v>
      </c>
      <c r="T47" s="2">
        <v>1</v>
      </c>
    </row>
    <row r="48" spans="1:20" ht="17">
      <c r="M48" t="s">
        <v>1703</v>
      </c>
      <c r="N48" t="s">
        <v>1878</v>
      </c>
      <c r="O48" s="2" t="s">
        <v>1702</v>
      </c>
      <c r="P48" s="2">
        <v>22</v>
      </c>
      <c r="Q48" s="2">
        <v>61.36</v>
      </c>
      <c r="R48" s="2">
        <v>50</v>
      </c>
      <c r="S48" s="2">
        <v>4</v>
      </c>
      <c r="T48" s="2">
        <v>1</v>
      </c>
    </row>
    <row r="49" spans="5:20" ht="17">
      <c r="E49"/>
      <c r="M49" t="s">
        <v>1701</v>
      </c>
      <c r="N49" t="s">
        <v>1879</v>
      </c>
      <c r="O49" s="2" t="s">
        <v>1700</v>
      </c>
      <c r="P49" s="2">
        <v>24</v>
      </c>
      <c r="Q49" s="2">
        <v>58.8</v>
      </c>
      <c r="R49" s="2">
        <v>37.5</v>
      </c>
      <c r="S49" s="2">
        <v>5</v>
      </c>
      <c r="T49" s="2">
        <v>2</v>
      </c>
    </row>
    <row r="50" spans="5:20" ht="17">
      <c r="E50"/>
      <c r="M50" t="s">
        <v>1699</v>
      </c>
      <c r="N50" t="s">
        <v>1880</v>
      </c>
      <c r="O50" s="2" t="s">
        <v>1698</v>
      </c>
      <c r="P50" s="2">
        <v>19</v>
      </c>
      <c r="Q50" s="2">
        <v>58.28</v>
      </c>
      <c r="R50" s="2">
        <v>52.63</v>
      </c>
      <c r="S50" s="2">
        <v>4</v>
      </c>
      <c r="T50" s="2">
        <v>4</v>
      </c>
    </row>
    <row r="51" spans="5:20" ht="17">
      <c r="M51" t="s">
        <v>1697</v>
      </c>
      <c r="N51" t="s">
        <v>1881</v>
      </c>
      <c r="O51" s="2" t="s">
        <v>1696</v>
      </c>
      <c r="P51" s="2">
        <v>24</v>
      </c>
      <c r="Q51" s="2">
        <v>58.22</v>
      </c>
      <c r="R51" s="2">
        <v>37.5</v>
      </c>
      <c r="S51" s="2">
        <v>7</v>
      </c>
      <c r="T51" s="2">
        <v>4</v>
      </c>
    </row>
    <row r="52" spans="5:20" ht="17">
      <c r="M52" t="s">
        <v>1695</v>
      </c>
      <c r="N52" t="s">
        <v>1882</v>
      </c>
      <c r="O52" s="2" t="s">
        <v>1694</v>
      </c>
      <c r="P52" s="2">
        <v>20</v>
      </c>
      <c r="Q52" s="2">
        <v>57.31</v>
      </c>
      <c r="R52" s="2">
        <v>50</v>
      </c>
      <c r="S52" s="2">
        <v>6</v>
      </c>
      <c r="T52" s="2">
        <v>1</v>
      </c>
    </row>
    <row r="56" spans="5:20" ht="18">
      <c r="E56" s="136" t="s">
        <v>1921</v>
      </c>
      <c r="F56">
        <v>6</v>
      </c>
      <c r="G56">
        <v>4</v>
      </c>
      <c r="H56" s="2" t="s">
        <v>1919</v>
      </c>
      <c r="I56" s="2" t="s">
        <v>1920</v>
      </c>
      <c r="J56" s="110">
        <v>101478629</v>
      </c>
      <c r="K56" s="110">
        <v>101478805</v>
      </c>
      <c r="L56">
        <f>K56-J56+1</f>
        <v>177</v>
      </c>
      <c r="M56" t="s">
        <v>1915</v>
      </c>
      <c r="N56" t="s">
        <v>1925</v>
      </c>
      <c r="O56" s="2" t="s">
        <v>1919</v>
      </c>
      <c r="P56" s="2">
        <v>23</v>
      </c>
      <c r="Q56" s="2">
        <v>58.99</v>
      </c>
      <c r="R56" s="2">
        <v>43.48</v>
      </c>
      <c r="S56" s="2">
        <v>4</v>
      </c>
      <c r="T56" s="2">
        <v>3</v>
      </c>
    </row>
    <row r="57" spans="5:20" ht="18">
      <c r="E57" s="136" t="s">
        <v>1922</v>
      </c>
      <c r="F57">
        <v>6</v>
      </c>
      <c r="G57">
        <v>4</v>
      </c>
      <c r="H57" s="2" t="s">
        <v>1924</v>
      </c>
      <c r="I57" s="2" t="s">
        <v>1923</v>
      </c>
      <c r="J57" s="110">
        <v>101478638</v>
      </c>
      <c r="K57" s="110">
        <v>101478846</v>
      </c>
      <c r="L57">
        <f>K57-J57+1</f>
        <v>209</v>
      </c>
      <c r="M57" t="s">
        <v>1916</v>
      </c>
      <c r="N57" t="s">
        <v>1926</v>
      </c>
      <c r="O57" s="2" t="s">
        <v>1920</v>
      </c>
      <c r="P57" s="2">
        <v>22</v>
      </c>
      <c r="Q57" s="2">
        <v>58.69</v>
      </c>
      <c r="R57" s="2">
        <v>45.45</v>
      </c>
      <c r="S57" s="2">
        <v>2</v>
      </c>
      <c r="T57" s="2">
        <v>2</v>
      </c>
    </row>
    <row r="58" spans="5:20" ht="17">
      <c r="M58" t="s">
        <v>1917</v>
      </c>
      <c r="N58" t="s">
        <v>1927</v>
      </c>
      <c r="O58" s="2" t="s">
        <v>1924</v>
      </c>
      <c r="P58" s="2">
        <v>24</v>
      </c>
      <c r="Q58" s="2">
        <v>60.02</v>
      </c>
      <c r="R58" s="2">
        <v>41.67</v>
      </c>
      <c r="S58" s="2">
        <v>4</v>
      </c>
      <c r="T58" s="2">
        <v>1</v>
      </c>
    </row>
    <row r="59" spans="5:20" ht="17">
      <c r="M59" t="s">
        <v>1918</v>
      </c>
      <c r="N59" t="s">
        <v>1928</v>
      </c>
      <c r="O59" s="2" t="s">
        <v>1923</v>
      </c>
      <c r="P59" s="2">
        <v>21</v>
      </c>
      <c r="Q59" s="2">
        <v>60.48</v>
      </c>
      <c r="R59" s="2">
        <v>52.38</v>
      </c>
      <c r="S59" s="2">
        <v>7</v>
      </c>
      <c r="T59" s="2">
        <v>2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CAEBC-ACE6-9D4E-8953-37EA95BD1925}">
  <dimension ref="A1:X47"/>
  <sheetViews>
    <sheetView zoomScale="86" workbookViewId="0">
      <selection activeCell="E2" sqref="E2:E24"/>
    </sheetView>
  </sheetViews>
  <sheetFormatPr baseColWidth="10" defaultRowHeight="16"/>
  <cols>
    <col min="1" max="1" width="99.5" customWidth="1"/>
    <col min="2" max="2" width="11.6640625" bestFit="1" customWidth="1"/>
    <col min="3" max="3" width="11" bestFit="1" customWidth="1"/>
    <col min="4" max="4" width="15.33203125" bestFit="1" customWidth="1"/>
    <col min="5" max="5" width="14.5" bestFit="1" customWidth="1"/>
    <col min="6" max="6" width="13" customWidth="1"/>
    <col min="9" max="9" width="38.33203125" bestFit="1" customWidth="1"/>
    <col min="10" max="10" width="37.5" bestFit="1" customWidth="1"/>
    <col min="11" max="11" width="13.33203125" bestFit="1" customWidth="1"/>
    <col min="12" max="12" width="16.1640625" bestFit="1" customWidth="1"/>
    <col min="13" max="13" width="15.33203125" customWidth="1"/>
    <col min="14" max="14" width="8.1640625" customWidth="1"/>
    <col min="15" max="15" width="20.33203125" customWidth="1"/>
    <col min="16" max="16" width="59.5" customWidth="1"/>
    <col min="17" max="17" width="41.1640625" bestFit="1" customWidth="1"/>
    <col min="18" max="18" width="11" bestFit="1" customWidth="1"/>
    <col min="19" max="20" width="15.5" bestFit="1" customWidth="1"/>
    <col min="21" max="23" width="11" bestFit="1" customWidth="1"/>
  </cols>
  <sheetData>
    <row r="1" spans="1:24" ht="17">
      <c r="B1" t="s">
        <v>59</v>
      </c>
      <c r="C1" t="s">
        <v>60</v>
      </c>
      <c r="D1" t="s">
        <v>61</v>
      </c>
      <c r="E1" t="s">
        <v>62</v>
      </c>
      <c r="F1" t="s">
        <v>2067</v>
      </c>
      <c r="G1" t="s">
        <v>63</v>
      </c>
      <c r="H1" t="s">
        <v>64</v>
      </c>
      <c r="I1" t="s">
        <v>65</v>
      </c>
      <c r="J1" t="s">
        <v>66</v>
      </c>
      <c r="K1" t="s">
        <v>1753</v>
      </c>
      <c r="L1" t="s">
        <v>1752</v>
      </c>
      <c r="M1" t="s">
        <v>1751</v>
      </c>
      <c r="P1" s="3"/>
      <c r="Q1" s="3" t="s">
        <v>1938</v>
      </c>
      <c r="R1" s="3" t="s">
        <v>85</v>
      </c>
      <c r="S1" s="3" t="s">
        <v>1939</v>
      </c>
      <c r="T1" s="3" t="s">
        <v>1940</v>
      </c>
      <c r="U1" s="3" t="s">
        <v>86</v>
      </c>
      <c r="V1" s="3" t="s">
        <v>87</v>
      </c>
      <c r="W1" s="3" t="s">
        <v>88</v>
      </c>
      <c r="X1" s="3" t="s">
        <v>89</v>
      </c>
    </row>
    <row r="2" spans="1:24" ht="18">
      <c r="A2" t="s">
        <v>1930</v>
      </c>
      <c r="B2" t="s">
        <v>55</v>
      </c>
      <c r="C2">
        <v>201624810</v>
      </c>
      <c r="D2">
        <v>201624990</v>
      </c>
      <c r="E2" t="s">
        <v>1955</v>
      </c>
      <c r="F2" s="215" t="s">
        <v>2000</v>
      </c>
      <c r="G2">
        <v>4</v>
      </c>
      <c r="H2">
        <v>6</v>
      </c>
      <c r="I2" s="2" t="s">
        <v>1964</v>
      </c>
      <c r="J2" s="2" t="s">
        <v>1965</v>
      </c>
      <c r="K2" s="110">
        <v>201624798</v>
      </c>
      <c r="L2" s="110">
        <v>201625038</v>
      </c>
      <c r="M2">
        <v>241</v>
      </c>
      <c r="O2" t="s">
        <v>1937</v>
      </c>
      <c r="P2" s="3" t="s">
        <v>2037</v>
      </c>
      <c r="Q2" s="2" t="s">
        <v>1964</v>
      </c>
      <c r="R2" s="2">
        <v>22</v>
      </c>
      <c r="U2" s="2">
        <v>57.02</v>
      </c>
      <c r="V2" s="2">
        <v>45.45</v>
      </c>
      <c r="W2" s="2">
        <v>3</v>
      </c>
      <c r="X2" s="2">
        <v>0</v>
      </c>
    </row>
    <row r="3" spans="1:24" ht="17">
      <c r="A3" t="s">
        <v>1931</v>
      </c>
      <c r="B3" t="s">
        <v>55</v>
      </c>
      <c r="C3">
        <v>32005963</v>
      </c>
      <c r="D3">
        <v>32006143</v>
      </c>
      <c r="E3" t="s">
        <v>1956</v>
      </c>
      <c r="F3" s="215"/>
      <c r="G3">
        <v>4</v>
      </c>
      <c r="H3">
        <v>6</v>
      </c>
      <c r="I3" s="2" t="s">
        <v>1941</v>
      </c>
      <c r="J3" s="2" t="s">
        <v>1966</v>
      </c>
      <c r="K3">
        <v>32005953</v>
      </c>
      <c r="L3">
        <v>32006205</v>
      </c>
      <c r="M3" s="2">
        <f>L3-K3+1</f>
        <v>253</v>
      </c>
      <c r="O3" t="s">
        <v>1942</v>
      </c>
      <c r="P3" s="3" t="s">
        <v>2038</v>
      </c>
      <c r="Q3" s="2" t="s">
        <v>1965</v>
      </c>
      <c r="R3" s="2">
        <v>22</v>
      </c>
      <c r="U3" s="2">
        <v>59.29</v>
      </c>
      <c r="V3" s="2">
        <v>45.45</v>
      </c>
      <c r="W3" s="2">
        <v>3</v>
      </c>
      <c r="X3" s="2">
        <v>2</v>
      </c>
    </row>
    <row r="4" spans="1:24" ht="17">
      <c r="A4" t="s">
        <v>1932</v>
      </c>
      <c r="B4" t="s">
        <v>53</v>
      </c>
      <c r="C4">
        <v>38338536</v>
      </c>
      <c r="D4">
        <v>38338716</v>
      </c>
      <c r="E4" t="s">
        <v>1957</v>
      </c>
      <c r="F4" s="215"/>
      <c r="G4">
        <v>6</v>
      </c>
      <c r="H4">
        <v>4</v>
      </c>
      <c r="I4" s="2" t="s">
        <v>1967</v>
      </c>
      <c r="J4" s="2" t="s">
        <v>1954</v>
      </c>
      <c r="K4">
        <v>38338550</v>
      </c>
      <c r="L4">
        <v>38338777</v>
      </c>
      <c r="M4" s="2">
        <v>228</v>
      </c>
      <c r="O4" t="s">
        <v>1943</v>
      </c>
      <c r="P4" s="3" t="s">
        <v>2039</v>
      </c>
      <c r="Q4" s="2" t="s">
        <v>1941</v>
      </c>
      <c r="R4" s="2">
        <v>22</v>
      </c>
      <c r="U4" s="2">
        <v>57.29</v>
      </c>
      <c r="V4" s="2">
        <v>45.45</v>
      </c>
      <c r="W4" s="2">
        <v>3</v>
      </c>
      <c r="X4" s="2">
        <v>1</v>
      </c>
    </row>
    <row r="5" spans="1:24" ht="17">
      <c r="A5" t="s">
        <v>1933</v>
      </c>
      <c r="B5" t="s">
        <v>57</v>
      </c>
      <c r="C5">
        <v>38639708</v>
      </c>
      <c r="D5">
        <v>38639888</v>
      </c>
      <c r="E5" t="s">
        <v>1958</v>
      </c>
      <c r="F5" s="215"/>
      <c r="G5">
        <v>4</v>
      </c>
      <c r="H5">
        <v>6</v>
      </c>
      <c r="I5" s="2" t="s">
        <v>1959</v>
      </c>
      <c r="J5" s="2" t="s">
        <v>1960</v>
      </c>
      <c r="K5">
        <v>38639710</v>
      </c>
      <c r="L5">
        <v>38639946</v>
      </c>
      <c r="M5" s="2">
        <v>237</v>
      </c>
      <c r="O5" t="s">
        <v>1944</v>
      </c>
      <c r="P5" s="3" t="s">
        <v>2040</v>
      </c>
      <c r="Q5" s="2" t="s">
        <v>1966</v>
      </c>
      <c r="R5" s="2">
        <v>22</v>
      </c>
      <c r="U5" s="2">
        <v>58</v>
      </c>
      <c r="V5" s="2">
        <v>45.45</v>
      </c>
      <c r="W5" s="2">
        <v>6</v>
      </c>
      <c r="X5" s="2">
        <v>2</v>
      </c>
    </row>
    <row r="6" spans="1:24" ht="17">
      <c r="A6" t="s">
        <v>1934</v>
      </c>
      <c r="B6" t="s">
        <v>40</v>
      </c>
      <c r="C6">
        <v>75343266</v>
      </c>
      <c r="D6">
        <v>75343446</v>
      </c>
      <c r="E6" t="s">
        <v>1963</v>
      </c>
      <c r="F6" s="215"/>
      <c r="G6">
        <v>6</v>
      </c>
      <c r="H6">
        <v>4</v>
      </c>
      <c r="I6" s="2" t="s">
        <v>1961</v>
      </c>
      <c r="J6" s="2" t="s">
        <v>1962</v>
      </c>
      <c r="K6">
        <v>75343235</v>
      </c>
      <c r="L6">
        <v>75343477</v>
      </c>
      <c r="M6" s="2">
        <v>243</v>
      </c>
      <c r="O6" t="s">
        <v>1945</v>
      </c>
      <c r="P6" s="3" t="s">
        <v>2041</v>
      </c>
      <c r="Q6" s="2" t="s">
        <v>1967</v>
      </c>
      <c r="R6" s="2">
        <v>24</v>
      </c>
      <c r="U6" s="2">
        <v>62.84</v>
      </c>
      <c r="V6" s="2">
        <v>50</v>
      </c>
      <c r="W6" s="2">
        <v>3</v>
      </c>
      <c r="X6" s="2">
        <v>3</v>
      </c>
    </row>
    <row r="7" spans="1:24" ht="17">
      <c r="A7" t="s">
        <v>1935</v>
      </c>
      <c r="B7" t="s">
        <v>55</v>
      </c>
      <c r="C7">
        <v>148377548</v>
      </c>
      <c r="D7">
        <v>148377728</v>
      </c>
      <c r="E7" t="s">
        <v>1953</v>
      </c>
      <c r="O7" t="s">
        <v>1946</v>
      </c>
      <c r="P7" s="3" t="s">
        <v>2042</v>
      </c>
      <c r="Q7" s="2" t="s">
        <v>1954</v>
      </c>
      <c r="R7" s="2">
        <v>22</v>
      </c>
      <c r="U7" s="2">
        <v>62.01</v>
      </c>
      <c r="V7" s="2">
        <v>50</v>
      </c>
      <c r="W7" s="2">
        <v>6</v>
      </c>
      <c r="X7" s="2">
        <v>1</v>
      </c>
    </row>
    <row r="8" spans="1:24" ht="17">
      <c r="A8" t="s">
        <v>1936</v>
      </c>
      <c r="B8" t="s">
        <v>41</v>
      </c>
      <c r="C8">
        <v>237467115</v>
      </c>
      <c r="D8">
        <v>237467295</v>
      </c>
      <c r="E8" t="s">
        <v>1953</v>
      </c>
      <c r="O8" t="s">
        <v>1947</v>
      </c>
      <c r="P8" s="3" t="s">
        <v>2043</v>
      </c>
      <c r="Q8" s="2" t="s">
        <v>1959</v>
      </c>
      <c r="R8" s="2">
        <v>22</v>
      </c>
      <c r="S8" s="2">
        <v>38639710</v>
      </c>
      <c r="T8" s="2">
        <v>38639731</v>
      </c>
      <c r="U8" s="2">
        <v>61.15</v>
      </c>
      <c r="V8" s="2">
        <v>50</v>
      </c>
      <c r="W8" s="2">
        <v>4</v>
      </c>
      <c r="X8" s="2">
        <v>2</v>
      </c>
    </row>
    <row r="9" spans="1:24" ht="17">
      <c r="A9" t="s">
        <v>1998</v>
      </c>
      <c r="B9" t="s">
        <v>46</v>
      </c>
      <c r="C9">
        <v>54493649</v>
      </c>
      <c r="D9">
        <v>54493829</v>
      </c>
      <c r="E9" t="s">
        <v>1953</v>
      </c>
      <c r="O9" t="s">
        <v>1948</v>
      </c>
      <c r="P9" s="3" t="s">
        <v>2044</v>
      </c>
      <c r="Q9" s="2" t="s">
        <v>1960</v>
      </c>
      <c r="R9" s="2">
        <v>22</v>
      </c>
      <c r="S9" s="2">
        <v>38639946</v>
      </c>
      <c r="T9" s="2">
        <v>38639925</v>
      </c>
      <c r="U9" s="2">
        <v>60.56</v>
      </c>
      <c r="V9" s="2">
        <v>54.55</v>
      </c>
      <c r="W9" s="2">
        <v>5</v>
      </c>
      <c r="X9" s="2">
        <v>1</v>
      </c>
    </row>
    <row r="10" spans="1:24" ht="17">
      <c r="A10" t="s">
        <v>2001</v>
      </c>
      <c r="B10" t="s">
        <v>44</v>
      </c>
      <c r="C10">
        <v>112928925</v>
      </c>
      <c r="D10">
        <v>112929105</v>
      </c>
      <c r="E10" t="s">
        <v>1953</v>
      </c>
      <c r="O10" t="s">
        <v>1949</v>
      </c>
      <c r="P10" s="3" t="s">
        <v>2045</v>
      </c>
      <c r="Q10" s="2" t="s">
        <v>1961</v>
      </c>
      <c r="R10" s="2">
        <v>23</v>
      </c>
      <c r="S10" s="2">
        <v>75343235</v>
      </c>
      <c r="T10" s="2">
        <v>75343257</v>
      </c>
      <c r="U10" s="2">
        <v>59.75</v>
      </c>
      <c r="V10" s="2">
        <v>43.48</v>
      </c>
      <c r="W10" s="2">
        <v>7</v>
      </c>
      <c r="X10" s="2">
        <v>2</v>
      </c>
    </row>
    <row r="11" spans="1:24" ht="17">
      <c r="O11" t="s">
        <v>1950</v>
      </c>
      <c r="P11" s="3" t="s">
        <v>2046</v>
      </c>
      <c r="Q11" s="2" t="s">
        <v>1962</v>
      </c>
      <c r="R11" s="2">
        <v>22</v>
      </c>
      <c r="S11" s="2">
        <v>75343477</v>
      </c>
      <c r="T11" s="2">
        <v>75343456</v>
      </c>
      <c r="U11" s="2">
        <v>61</v>
      </c>
      <c r="V11" s="2">
        <v>54.55</v>
      </c>
      <c r="W11" s="2">
        <v>3</v>
      </c>
      <c r="X11" s="2">
        <v>0</v>
      </c>
    </row>
    <row r="12" spans="1:24" ht="17">
      <c r="A12" s="142" t="s">
        <v>1968</v>
      </c>
      <c r="B12" s="141" t="s">
        <v>40</v>
      </c>
      <c r="C12" s="141">
        <v>125145169</v>
      </c>
      <c r="D12" s="141">
        <v>125145349</v>
      </c>
      <c r="E12" t="s">
        <v>1977</v>
      </c>
      <c r="F12" s="215" t="s">
        <v>1999</v>
      </c>
      <c r="G12">
        <v>6</v>
      </c>
      <c r="H12">
        <v>4</v>
      </c>
      <c r="I12" s="2" t="s">
        <v>1975</v>
      </c>
      <c r="J12" s="2" t="s">
        <v>1976</v>
      </c>
      <c r="K12">
        <v>125145146</v>
      </c>
      <c r="L12">
        <v>125145385</v>
      </c>
      <c r="M12">
        <v>240</v>
      </c>
      <c r="P12" s="3"/>
    </row>
    <row r="13" spans="1:24" ht="17">
      <c r="A13" s="142" t="s">
        <v>1969</v>
      </c>
      <c r="B13" s="141" t="s">
        <v>51</v>
      </c>
      <c r="C13" s="141">
        <v>93651590</v>
      </c>
      <c r="D13" s="141">
        <v>93651770</v>
      </c>
      <c r="E13" t="s">
        <v>1978</v>
      </c>
      <c r="F13" s="215"/>
      <c r="G13">
        <v>6</v>
      </c>
      <c r="H13">
        <v>4</v>
      </c>
      <c r="I13" s="2" t="s">
        <v>1979</v>
      </c>
      <c r="J13" s="2" t="s">
        <v>1980</v>
      </c>
      <c r="K13">
        <v>93651528</v>
      </c>
      <c r="L13">
        <v>93651779</v>
      </c>
      <c r="M13">
        <v>252</v>
      </c>
      <c r="O13" t="s">
        <v>1951</v>
      </c>
      <c r="P13" s="3" t="s">
        <v>2047</v>
      </c>
      <c r="Q13" s="2" t="s">
        <v>1975</v>
      </c>
      <c r="R13" s="2">
        <v>24</v>
      </c>
      <c r="U13" s="2">
        <v>60.81</v>
      </c>
      <c r="V13" s="2">
        <v>45.83</v>
      </c>
      <c r="W13" s="2">
        <v>8</v>
      </c>
      <c r="X13" s="2">
        <v>2</v>
      </c>
    </row>
    <row r="14" spans="1:24" ht="17">
      <c r="A14" s="142" t="s">
        <v>1970</v>
      </c>
      <c r="B14" s="141" t="s">
        <v>56</v>
      </c>
      <c r="C14" s="141">
        <v>158788813</v>
      </c>
      <c r="D14" s="141">
        <v>158788993</v>
      </c>
      <c r="E14" t="s">
        <v>1981</v>
      </c>
      <c r="F14" s="215"/>
      <c r="G14">
        <v>6</v>
      </c>
      <c r="H14">
        <v>4</v>
      </c>
      <c r="I14" s="2" t="s">
        <v>1982</v>
      </c>
      <c r="J14" s="2" t="s">
        <v>1983</v>
      </c>
      <c r="K14">
        <v>158788806</v>
      </c>
      <c r="L14">
        <v>158789055</v>
      </c>
      <c r="M14">
        <v>250</v>
      </c>
      <c r="O14" t="s">
        <v>1952</v>
      </c>
      <c r="P14" s="3" t="s">
        <v>2048</v>
      </c>
      <c r="Q14" s="2" t="s">
        <v>1976</v>
      </c>
      <c r="R14" s="2">
        <v>21</v>
      </c>
      <c r="U14" s="2">
        <v>60.27</v>
      </c>
      <c r="V14" s="2">
        <v>52.38</v>
      </c>
      <c r="W14" s="2">
        <v>3</v>
      </c>
      <c r="X14" s="2">
        <v>0</v>
      </c>
    </row>
    <row r="15" spans="1:24" ht="17">
      <c r="A15" s="142" t="s">
        <v>1973</v>
      </c>
      <c r="B15" s="141" t="s">
        <v>45</v>
      </c>
      <c r="C15" s="141">
        <v>88649630</v>
      </c>
      <c r="D15" s="141">
        <v>88649810</v>
      </c>
      <c r="E15" t="s">
        <v>1986</v>
      </c>
      <c r="F15" s="215"/>
      <c r="G15">
        <v>6</v>
      </c>
      <c r="H15">
        <v>4</v>
      </c>
      <c r="I15" s="2" t="s">
        <v>1984</v>
      </c>
      <c r="J15" s="2" t="s">
        <v>1985</v>
      </c>
      <c r="K15">
        <v>88649619</v>
      </c>
      <c r="L15">
        <v>88649800</v>
      </c>
      <c r="M15" s="2">
        <v>182</v>
      </c>
      <c r="O15" t="s">
        <v>1990</v>
      </c>
      <c r="P15" s="3" t="s">
        <v>2049</v>
      </c>
      <c r="Q15" s="2" t="s">
        <v>1979</v>
      </c>
      <c r="R15" s="2">
        <v>23</v>
      </c>
      <c r="U15" s="2">
        <v>60.06</v>
      </c>
      <c r="V15" s="2">
        <v>47.83</v>
      </c>
      <c r="W15" s="2">
        <v>4</v>
      </c>
      <c r="X15" s="2">
        <v>0</v>
      </c>
    </row>
    <row r="16" spans="1:24" ht="17">
      <c r="A16" s="142" t="s">
        <v>1974</v>
      </c>
      <c r="B16" s="141" t="s">
        <v>46</v>
      </c>
      <c r="C16" s="141">
        <v>70880406</v>
      </c>
      <c r="D16" s="141">
        <v>70880586</v>
      </c>
      <c r="E16" t="s">
        <v>1987</v>
      </c>
      <c r="F16" s="215"/>
      <c r="G16">
        <v>4</v>
      </c>
      <c r="H16">
        <v>6</v>
      </c>
      <c r="I16" s="2" t="s">
        <v>1988</v>
      </c>
      <c r="J16" s="2" t="s">
        <v>1989</v>
      </c>
      <c r="K16">
        <v>70880370</v>
      </c>
      <c r="L16">
        <v>70880602</v>
      </c>
      <c r="M16" s="2">
        <v>233</v>
      </c>
      <c r="O16" t="s">
        <v>1991</v>
      </c>
      <c r="P16" s="3" t="s">
        <v>2050</v>
      </c>
      <c r="Q16" s="2" t="s">
        <v>1980</v>
      </c>
      <c r="R16" s="2">
        <v>22</v>
      </c>
      <c r="U16" s="2">
        <v>59.77</v>
      </c>
      <c r="V16" s="2">
        <v>50</v>
      </c>
      <c r="W16" s="2">
        <v>4</v>
      </c>
      <c r="X16" s="2">
        <v>0</v>
      </c>
    </row>
    <row r="17" spans="1:24" ht="17">
      <c r="A17" s="142" t="s">
        <v>1971</v>
      </c>
      <c r="B17" s="141" t="s">
        <v>964</v>
      </c>
      <c r="C17" s="141">
        <v>51326495</v>
      </c>
      <c r="D17" s="141">
        <v>51326675</v>
      </c>
      <c r="O17" t="s">
        <v>1992</v>
      </c>
      <c r="P17" s="3" t="s">
        <v>2051</v>
      </c>
      <c r="Q17" s="2" t="s">
        <v>1982</v>
      </c>
      <c r="R17" s="2">
        <v>24</v>
      </c>
      <c r="U17" s="2">
        <v>57.93</v>
      </c>
      <c r="V17" s="2">
        <v>41.67</v>
      </c>
      <c r="W17" s="2">
        <v>4</v>
      </c>
      <c r="X17" s="2">
        <v>0</v>
      </c>
    </row>
    <row r="18" spans="1:24" ht="17">
      <c r="A18" s="142" t="s">
        <v>1972</v>
      </c>
      <c r="B18" s="141" t="s">
        <v>43</v>
      </c>
      <c r="C18" s="141">
        <v>71488954</v>
      </c>
      <c r="D18" s="141">
        <v>71489134</v>
      </c>
      <c r="O18" t="s">
        <v>1993</v>
      </c>
      <c r="P18" s="3" t="s">
        <v>2052</v>
      </c>
      <c r="Q18" s="2" t="s">
        <v>1983</v>
      </c>
      <c r="R18" s="2">
        <v>22</v>
      </c>
      <c r="U18" s="2">
        <v>58.46</v>
      </c>
      <c r="V18" s="2">
        <v>45.45</v>
      </c>
      <c r="W18" s="2">
        <v>3</v>
      </c>
      <c r="X18" s="2">
        <v>3</v>
      </c>
    </row>
    <row r="19" spans="1:24" ht="17">
      <c r="O19" t="s">
        <v>1994</v>
      </c>
      <c r="P19" s="3" t="s">
        <v>2053</v>
      </c>
      <c r="Q19" s="2" t="s">
        <v>1984</v>
      </c>
      <c r="R19" s="2">
        <v>24</v>
      </c>
      <c r="S19" s="2">
        <v>88649619</v>
      </c>
      <c r="T19" s="2">
        <v>88649642</v>
      </c>
      <c r="U19" s="2">
        <v>59.66</v>
      </c>
      <c r="V19" s="2">
        <v>41.67</v>
      </c>
      <c r="W19" s="2">
        <v>4</v>
      </c>
      <c r="X19" s="2">
        <v>3</v>
      </c>
    </row>
    <row r="20" spans="1:24" ht="17">
      <c r="A20" s="142" t="s">
        <v>2002</v>
      </c>
      <c r="B20" s="141" t="s">
        <v>46</v>
      </c>
      <c r="C20" s="141">
        <v>41257877</v>
      </c>
      <c r="D20" s="141">
        <v>41258057</v>
      </c>
      <c r="E20" t="s">
        <v>2015</v>
      </c>
      <c r="F20" s="215" t="s">
        <v>2010</v>
      </c>
      <c r="G20">
        <v>4</v>
      </c>
      <c r="H20">
        <v>6</v>
      </c>
      <c r="I20" s="2" t="s">
        <v>2011</v>
      </c>
      <c r="J20" s="2" t="s">
        <v>2012</v>
      </c>
      <c r="K20">
        <v>41257878</v>
      </c>
      <c r="L20">
        <v>41258117</v>
      </c>
      <c r="M20">
        <v>240</v>
      </c>
      <c r="O20" t="s">
        <v>1995</v>
      </c>
      <c r="P20" s="3" t="s">
        <v>2054</v>
      </c>
      <c r="Q20" s="2" t="s">
        <v>1985</v>
      </c>
      <c r="R20" s="2">
        <v>21</v>
      </c>
      <c r="S20" s="2">
        <v>88649800</v>
      </c>
      <c r="T20" s="2">
        <v>88649780</v>
      </c>
      <c r="U20" s="2">
        <v>60.96</v>
      </c>
      <c r="V20" s="2">
        <v>57.14</v>
      </c>
      <c r="W20" s="2">
        <v>4</v>
      </c>
      <c r="X20" s="2">
        <v>1</v>
      </c>
    </row>
    <row r="21" spans="1:24" ht="17">
      <c r="A21" s="142" t="s">
        <v>2003</v>
      </c>
      <c r="B21" s="141" t="s">
        <v>47</v>
      </c>
      <c r="C21" s="141">
        <v>71377706</v>
      </c>
      <c r="D21" s="141">
        <v>71377886</v>
      </c>
      <c r="E21" t="s">
        <v>2020</v>
      </c>
      <c r="F21" s="215"/>
      <c r="G21">
        <v>4</v>
      </c>
      <c r="H21">
        <v>6</v>
      </c>
      <c r="I21" s="2" t="s">
        <v>2016</v>
      </c>
      <c r="J21" s="2" t="s">
        <v>2017</v>
      </c>
      <c r="K21">
        <v>71377721</v>
      </c>
      <c r="L21">
        <v>71377938</v>
      </c>
      <c r="M21">
        <v>218</v>
      </c>
      <c r="O21" t="s">
        <v>1996</v>
      </c>
      <c r="P21" s="3" t="s">
        <v>2055</v>
      </c>
      <c r="Q21" s="2" t="s">
        <v>1988</v>
      </c>
      <c r="R21" s="2">
        <v>21</v>
      </c>
      <c r="S21" s="2">
        <v>70880370</v>
      </c>
      <c r="T21" s="2">
        <v>70880390</v>
      </c>
      <c r="U21" s="2">
        <v>60.62</v>
      </c>
      <c r="V21" s="2">
        <v>52.38</v>
      </c>
      <c r="W21" s="2">
        <v>4</v>
      </c>
      <c r="X21" s="2">
        <v>0</v>
      </c>
    </row>
    <row r="22" spans="1:24" ht="17">
      <c r="A22" s="142" t="s">
        <v>2004</v>
      </c>
      <c r="B22" s="141" t="s">
        <v>40</v>
      </c>
      <c r="C22" s="141">
        <v>49387083</v>
      </c>
      <c r="D22" s="141">
        <v>49387263</v>
      </c>
      <c r="E22" t="s">
        <v>2023</v>
      </c>
      <c r="F22" s="215"/>
      <c r="G22">
        <v>4</v>
      </c>
      <c r="H22">
        <v>6</v>
      </c>
      <c r="I22" s="2" t="s">
        <v>2021</v>
      </c>
      <c r="J22" s="2" t="s">
        <v>2022</v>
      </c>
      <c r="K22">
        <v>49387066</v>
      </c>
      <c r="L22">
        <v>49387256</v>
      </c>
      <c r="M22">
        <v>191</v>
      </c>
      <c r="O22" t="s">
        <v>1997</v>
      </c>
      <c r="P22" s="3" t="s">
        <v>2056</v>
      </c>
      <c r="Q22" s="2" t="s">
        <v>1989</v>
      </c>
      <c r="R22" s="2">
        <v>23</v>
      </c>
      <c r="S22" s="2">
        <v>70880602</v>
      </c>
      <c r="T22" s="2">
        <v>70880580</v>
      </c>
      <c r="U22" s="2">
        <v>59.99</v>
      </c>
      <c r="V22" s="2">
        <v>52.17</v>
      </c>
      <c r="W22" s="2">
        <v>2</v>
      </c>
      <c r="X22" s="2">
        <v>1</v>
      </c>
    </row>
    <row r="23" spans="1:24" ht="17">
      <c r="A23" s="142" t="s">
        <v>2005</v>
      </c>
      <c r="B23" s="141" t="s">
        <v>45</v>
      </c>
      <c r="C23" s="141">
        <v>28255562</v>
      </c>
      <c r="D23" s="141">
        <v>28255742</v>
      </c>
      <c r="E23" t="s">
        <v>2026</v>
      </c>
      <c r="F23" s="215" t="s">
        <v>2036</v>
      </c>
      <c r="G23">
        <v>4</v>
      </c>
      <c r="H23">
        <v>6</v>
      </c>
      <c r="I23" s="2" t="s">
        <v>2024</v>
      </c>
      <c r="J23" s="2" t="s">
        <v>2025</v>
      </c>
      <c r="K23">
        <v>28255551</v>
      </c>
      <c r="L23">
        <v>28255777</v>
      </c>
      <c r="M23">
        <v>227</v>
      </c>
      <c r="P23" s="3"/>
    </row>
    <row r="24" spans="1:24" ht="17">
      <c r="A24" s="142" t="s">
        <v>2006</v>
      </c>
      <c r="B24" s="141" t="s">
        <v>49</v>
      </c>
      <c r="C24" s="141">
        <v>1133804</v>
      </c>
      <c r="D24" s="141">
        <v>1133984</v>
      </c>
      <c r="E24" t="s">
        <v>2035</v>
      </c>
      <c r="F24" s="215"/>
      <c r="G24">
        <v>6</v>
      </c>
      <c r="H24">
        <v>4</v>
      </c>
      <c r="I24" s="2" t="s">
        <v>2033</v>
      </c>
      <c r="J24" s="2" t="s">
        <v>2034</v>
      </c>
      <c r="K24">
        <v>1133784</v>
      </c>
      <c r="L24">
        <v>1133977</v>
      </c>
      <c r="M24">
        <v>194</v>
      </c>
      <c r="O24" t="s">
        <v>2013</v>
      </c>
      <c r="P24" s="3" t="s">
        <v>2057</v>
      </c>
      <c r="Q24" s="2" t="s">
        <v>2011</v>
      </c>
      <c r="R24" s="2">
        <v>21</v>
      </c>
      <c r="U24" s="2">
        <v>60.2</v>
      </c>
      <c r="V24" s="2">
        <v>57.14</v>
      </c>
      <c r="W24" s="2">
        <v>5</v>
      </c>
      <c r="X24" s="2">
        <v>2</v>
      </c>
    </row>
    <row r="25" spans="1:24" ht="17">
      <c r="A25" s="142" t="s">
        <v>2007</v>
      </c>
      <c r="B25" s="141" t="s">
        <v>51</v>
      </c>
      <c r="C25" s="141">
        <v>88248652</v>
      </c>
      <c r="D25" s="141">
        <v>88248832</v>
      </c>
      <c r="F25" s="28"/>
      <c r="O25" t="s">
        <v>2014</v>
      </c>
      <c r="P25" s="3" t="s">
        <v>2058</v>
      </c>
      <c r="Q25" s="2" t="s">
        <v>2012</v>
      </c>
      <c r="R25" s="2">
        <v>24</v>
      </c>
      <c r="U25" s="2">
        <v>59.96</v>
      </c>
      <c r="V25" s="2">
        <v>41.67</v>
      </c>
      <c r="W25" s="2">
        <v>4</v>
      </c>
      <c r="X25" s="2">
        <v>2</v>
      </c>
    </row>
    <row r="26" spans="1:24" ht="17">
      <c r="A26" s="142" t="s">
        <v>2008</v>
      </c>
      <c r="B26" s="141" t="s">
        <v>48</v>
      </c>
      <c r="C26" s="141">
        <v>104345735</v>
      </c>
      <c r="D26" s="141">
        <v>104345915</v>
      </c>
      <c r="F26" s="28"/>
      <c r="O26" t="s">
        <v>2018</v>
      </c>
      <c r="P26" s="3" t="s">
        <v>2059</v>
      </c>
      <c r="Q26" s="2" t="s">
        <v>2016</v>
      </c>
      <c r="R26" s="2">
        <v>21</v>
      </c>
      <c r="U26" s="2">
        <v>58.17</v>
      </c>
      <c r="V26" s="2">
        <v>47.62</v>
      </c>
      <c r="W26" s="2">
        <v>4</v>
      </c>
      <c r="X26" s="2">
        <v>2</v>
      </c>
    </row>
    <row r="27" spans="1:24" ht="17">
      <c r="A27" s="142" t="s">
        <v>2009</v>
      </c>
      <c r="B27" s="141" t="s">
        <v>52</v>
      </c>
      <c r="C27" s="141">
        <v>101478614</v>
      </c>
      <c r="D27" s="141">
        <v>101478794</v>
      </c>
      <c r="F27" s="28"/>
      <c r="O27" t="s">
        <v>2019</v>
      </c>
      <c r="P27" s="3" t="s">
        <v>2060</v>
      </c>
      <c r="Q27" s="2" t="s">
        <v>2017</v>
      </c>
      <c r="R27" s="2">
        <v>24</v>
      </c>
      <c r="U27" s="2">
        <v>57.72</v>
      </c>
      <c r="V27" s="2">
        <v>41.67</v>
      </c>
      <c r="W27" s="2">
        <v>7</v>
      </c>
      <c r="X27" s="2">
        <v>2</v>
      </c>
    </row>
    <row r="28" spans="1:24" ht="17">
      <c r="O28" t="s">
        <v>2027</v>
      </c>
      <c r="P28" s="3" t="s">
        <v>2061</v>
      </c>
      <c r="Q28" s="2" t="s">
        <v>2021</v>
      </c>
      <c r="R28" s="2">
        <v>22</v>
      </c>
      <c r="U28" s="2">
        <v>56.72</v>
      </c>
      <c r="V28" s="2">
        <v>45.45</v>
      </c>
      <c r="W28" s="2">
        <v>4</v>
      </c>
      <c r="X28" s="2">
        <v>2</v>
      </c>
    </row>
    <row r="29" spans="1:24" ht="17">
      <c r="O29" t="s">
        <v>2028</v>
      </c>
      <c r="P29" s="3" t="s">
        <v>2062</v>
      </c>
      <c r="Q29" s="2" t="s">
        <v>2022</v>
      </c>
      <c r="R29" s="2">
        <v>22</v>
      </c>
      <c r="U29" s="2">
        <v>57.64</v>
      </c>
      <c r="V29" s="2">
        <v>50</v>
      </c>
      <c r="W29" s="2">
        <v>5</v>
      </c>
      <c r="X29" s="2">
        <v>3</v>
      </c>
    </row>
    <row r="30" spans="1:24" ht="17">
      <c r="B30" s="141"/>
      <c r="O30" t="s">
        <v>2029</v>
      </c>
      <c r="P30" s="3" t="s">
        <v>2063</v>
      </c>
      <c r="Q30" s="2" t="s">
        <v>2024</v>
      </c>
      <c r="R30" s="2">
        <v>21</v>
      </c>
      <c r="S30" s="2">
        <v>28255551</v>
      </c>
      <c r="T30" s="2">
        <v>28255571</v>
      </c>
      <c r="U30" s="2">
        <v>59.58</v>
      </c>
      <c r="V30" s="2">
        <v>57.14</v>
      </c>
      <c r="W30" s="2">
        <v>6</v>
      </c>
      <c r="X30" s="2">
        <v>3</v>
      </c>
    </row>
    <row r="31" spans="1:24" ht="17">
      <c r="B31" s="141"/>
      <c r="O31" t="s">
        <v>2030</v>
      </c>
      <c r="P31" s="3" t="s">
        <v>2064</v>
      </c>
      <c r="Q31" s="2" t="s">
        <v>2025</v>
      </c>
      <c r="R31" s="2">
        <v>24</v>
      </c>
      <c r="S31" s="2">
        <v>28255777</v>
      </c>
      <c r="T31" s="2">
        <v>28255754</v>
      </c>
      <c r="U31" s="2">
        <v>59.96</v>
      </c>
      <c r="V31" s="2">
        <v>37.5</v>
      </c>
      <c r="W31" s="2">
        <v>4</v>
      </c>
      <c r="X31" s="2">
        <v>2</v>
      </c>
    </row>
    <row r="32" spans="1:24" ht="17">
      <c r="B32" s="141"/>
      <c r="O32" t="s">
        <v>2031</v>
      </c>
      <c r="P32" s="3" t="s">
        <v>2065</v>
      </c>
      <c r="Q32" s="2" t="s">
        <v>2033</v>
      </c>
      <c r="R32" s="2">
        <v>23</v>
      </c>
      <c r="U32" s="2">
        <v>61.02</v>
      </c>
      <c r="V32" s="2">
        <v>47.83</v>
      </c>
      <c r="W32" s="2">
        <v>7</v>
      </c>
      <c r="X32" s="2">
        <v>2</v>
      </c>
    </row>
    <row r="33" spans="2:24" ht="17">
      <c r="B33" s="141"/>
      <c r="O33" t="s">
        <v>2032</v>
      </c>
      <c r="P33" s="3" t="s">
        <v>2066</v>
      </c>
      <c r="Q33" s="2" t="s">
        <v>2034</v>
      </c>
      <c r="R33" s="2">
        <v>21</v>
      </c>
      <c r="U33" s="2">
        <v>60.69</v>
      </c>
      <c r="V33" s="2">
        <v>57.14</v>
      </c>
      <c r="W33" s="2">
        <v>6</v>
      </c>
      <c r="X33" s="2">
        <v>2</v>
      </c>
    </row>
    <row r="34" spans="2:24">
      <c r="B34" s="141"/>
    </row>
    <row r="35" spans="2:24" ht="17">
      <c r="B35" s="141"/>
      <c r="P35" s="3"/>
    </row>
    <row r="36" spans="2:24">
      <c r="B36" s="141"/>
    </row>
    <row r="37" spans="2:24">
      <c r="B37" s="141"/>
      <c r="P37" s="143"/>
    </row>
    <row r="39" spans="2:24" ht="18">
      <c r="P39" s="110"/>
    </row>
    <row r="40" spans="2:24" ht="18">
      <c r="P40" s="110"/>
    </row>
    <row r="41" spans="2:24">
      <c r="P41" s="143"/>
    </row>
    <row r="43" spans="2:24" ht="18">
      <c r="P43" s="110"/>
    </row>
    <row r="44" spans="2:24" ht="18">
      <c r="P44" s="110"/>
    </row>
    <row r="46" spans="2:24" ht="18">
      <c r="P46" s="110"/>
    </row>
    <row r="47" spans="2:24" ht="18">
      <c r="P47" s="110"/>
    </row>
  </sheetData>
  <mergeCells count="4">
    <mergeCell ref="F12:F16"/>
    <mergeCell ref="F2:F6"/>
    <mergeCell ref="F20:F22"/>
    <mergeCell ref="F23:F24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0920</vt:lpstr>
      <vt:lpstr>1010-</vt:lpstr>
      <vt:lpstr>1103-</vt:lpstr>
      <vt:lpstr>1110</vt:lpstr>
      <vt:lpstr>1120</vt:lpstr>
      <vt:lpstr>0118</vt:lpstr>
      <vt:lpstr>0624</vt:lpstr>
      <vt:lpstr>0715</vt:lpstr>
      <vt:lpstr>emx1</vt:lpstr>
      <vt:lpstr>emx1-guide-seq</vt:lpstr>
      <vt:lpstr>VEGFA-verify-list</vt:lpstr>
      <vt:lpstr>vegfa-primer</vt:lpstr>
      <vt:lpstr>HEK4-HEK3-RNF2</vt:lpstr>
      <vt:lpstr>e1-h4-v2-dis</vt:lpstr>
      <vt:lpstr>MCF7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2020-07-15T05:29:49Z</cp:lastPrinted>
  <dcterms:created xsi:type="dcterms:W3CDTF">2019-09-04T08:00:49Z</dcterms:created>
  <dcterms:modified xsi:type="dcterms:W3CDTF">2020-07-18T05:16:48Z</dcterms:modified>
</cp:coreProperties>
</file>